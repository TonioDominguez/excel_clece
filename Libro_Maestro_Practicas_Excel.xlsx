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do\Documents\01_data_projects\excel jerez 2026\"/>
    </mc:Choice>
  </mc:AlternateContent>
  <xr:revisionPtr revIDLastSave="0" documentId="8_{CBCCC1B2-CE3A-483C-921F-FFE2D38AE652}" xr6:coauthVersionLast="47" xr6:coauthVersionMax="47" xr10:uidLastSave="{00000000-0000-0000-0000-000000000000}"/>
  <bookViews>
    <workbookView xWindow="-108" yWindow="-108" windowWidth="23256" windowHeight="12456" xr2:uid="{6EDB9D1F-7BA5-419E-8CE8-784BB436D3D0}"/>
  </bookViews>
  <sheets>
    <sheet name="Ejemplo " sheetId="1" r:id="rId1"/>
    <sheet name="Ejercicio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1" i="4" l="1"/>
  <c r="H21" i="4"/>
  <c r="G21" i="4"/>
  <c r="I20" i="4"/>
  <c r="G20" i="4"/>
  <c r="H20" i="4" s="1"/>
  <c r="I19" i="4"/>
  <c r="H19" i="4"/>
  <c r="G19" i="4"/>
  <c r="I18" i="4"/>
  <c r="H18" i="4"/>
  <c r="G18" i="4"/>
  <c r="I17" i="4"/>
  <c r="H17" i="4"/>
  <c r="G17" i="4"/>
  <c r="I16" i="4"/>
  <c r="G16" i="4"/>
  <c r="H16" i="4" s="1"/>
  <c r="I15" i="4"/>
  <c r="G15" i="4"/>
  <c r="H15" i="4" s="1"/>
  <c r="I14" i="4"/>
  <c r="H14" i="4"/>
  <c r="G14" i="4"/>
  <c r="I13" i="4"/>
  <c r="G13" i="4"/>
  <c r="H13" i="4" s="1"/>
  <c r="I12" i="4"/>
  <c r="H12" i="4"/>
  <c r="G12" i="4"/>
  <c r="I11" i="4"/>
  <c r="H11" i="4"/>
  <c r="G11" i="4"/>
  <c r="I10" i="4"/>
  <c r="G10" i="4"/>
  <c r="H10" i="4" s="1"/>
  <c r="I9" i="4"/>
  <c r="G9" i="4"/>
  <c r="H9" i="4" s="1"/>
  <c r="I8" i="4"/>
  <c r="H8" i="4"/>
  <c r="G8" i="4"/>
  <c r="I7" i="4"/>
  <c r="G7" i="4"/>
  <c r="H7" i="4" s="1"/>
  <c r="I6" i="4"/>
  <c r="G6" i="4"/>
  <c r="H6" i="4" s="1"/>
  <c r="I5" i="4"/>
  <c r="G5" i="4"/>
  <c r="H5" i="4" s="1"/>
  <c r="I4" i="4"/>
  <c r="H4" i="4"/>
  <c r="G4" i="4"/>
  <c r="I3" i="4"/>
  <c r="H3" i="4"/>
  <c r="G3" i="4"/>
  <c r="I2" i="4"/>
  <c r="H2" i="4"/>
  <c r="G2" i="4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<sst xmlns="http://schemas.openxmlformats.org/spreadsheetml/2006/main" count="568" uniqueCount="218">
  <si>
    <t>Cliente</t>
  </si>
  <si>
    <t>Producto</t>
  </si>
  <si>
    <t>Cantidad</t>
  </si>
  <si>
    <t>Fecha Pedido</t>
  </si>
  <si>
    <t>Hora Pedido</t>
  </si>
  <si>
    <t>Precio Unitario</t>
  </si>
  <si>
    <t>Descuento</t>
  </si>
  <si>
    <t>Importe Total</t>
  </si>
  <si>
    <t>Estado</t>
  </si>
  <si>
    <t>Vendedor</t>
  </si>
  <si>
    <t>Ciudad</t>
  </si>
  <si>
    <t>Cliente A</t>
  </si>
  <si>
    <t>Portátil</t>
  </si>
  <si>
    <t>Entregado</t>
  </si>
  <si>
    <t>Juan Pérez</t>
  </si>
  <si>
    <t>Madrid</t>
  </si>
  <si>
    <t>Cliente B</t>
  </si>
  <si>
    <t>Monitor</t>
  </si>
  <si>
    <t>Pendiente</t>
  </si>
  <si>
    <t>Ana Gómez</t>
  </si>
  <si>
    <t>Barcelona</t>
  </si>
  <si>
    <t>Cliente C</t>
  </si>
  <si>
    <t>Teclado</t>
  </si>
  <si>
    <t>Luis Torres</t>
  </si>
  <si>
    <t>Valencia</t>
  </si>
  <si>
    <t>Cliente D</t>
  </si>
  <si>
    <t>Ratón</t>
  </si>
  <si>
    <t>Cancelado</t>
  </si>
  <si>
    <t>María Ruiz</t>
  </si>
  <si>
    <t>Sevilla</t>
  </si>
  <si>
    <t>Cliente E</t>
  </si>
  <si>
    <t>Impresora</t>
  </si>
  <si>
    <t>Carlos Díaz</t>
  </si>
  <si>
    <t>Bilbao</t>
  </si>
  <si>
    <t>Cliente F</t>
  </si>
  <si>
    <t>Silla</t>
  </si>
  <si>
    <t>Laura Sánchez</t>
  </si>
  <si>
    <t>Zaragoza</t>
  </si>
  <si>
    <t>Cliente G</t>
  </si>
  <si>
    <t>Mesa</t>
  </si>
  <si>
    <t>Pedro Martín</t>
  </si>
  <si>
    <t>Málaga</t>
  </si>
  <si>
    <t>Cliente H</t>
  </si>
  <si>
    <t>Auriculares</t>
  </si>
  <si>
    <t>Devuelto</t>
  </si>
  <si>
    <t>Sofía Romero</t>
  </si>
  <si>
    <t>Alicante</t>
  </si>
  <si>
    <t>Cliente I</t>
  </si>
  <si>
    <t>Webcam</t>
  </si>
  <si>
    <t>Diego Herrera</t>
  </si>
  <si>
    <t>Murcia</t>
  </si>
  <si>
    <t>Cliente J</t>
  </si>
  <si>
    <t>Altavoces</t>
  </si>
  <si>
    <t>Elena Castro</t>
  </si>
  <si>
    <t>Cliente 11</t>
  </si>
  <si>
    <t>Marta López</t>
  </si>
  <si>
    <t>Cliente 12</t>
  </si>
  <si>
    <t>Javier Fernández</t>
  </si>
  <si>
    <t>Cliente 13</t>
  </si>
  <si>
    <t>Isabel Moreno</t>
  </si>
  <si>
    <t>Cliente 14</t>
  </si>
  <si>
    <t>Raúl Jiménez</t>
  </si>
  <si>
    <t>Cliente 15</t>
  </si>
  <si>
    <t>Cristina Vega</t>
  </si>
  <si>
    <t>Cliente 16</t>
  </si>
  <si>
    <t>Alberto Navarro</t>
  </si>
  <si>
    <t>Cliente 17</t>
  </si>
  <si>
    <t>Patricia Ortiz</t>
  </si>
  <si>
    <t>Cliente 18</t>
  </si>
  <si>
    <t>Sergio Molina</t>
  </si>
  <si>
    <t>Cliente 19</t>
  </si>
  <si>
    <t>Beatriz Delgado</t>
  </si>
  <si>
    <t>Cliente 20</t>
  </si>
  <si>
    <t>Fernando Cruz</t>
  </si>
  <si>
    <t>Palma</t>
  </si>
  <si>
    <t>Cliente 21</t>
  </si>
  <si>
    <t>Tablet</t>
  </si>
  <si>
    <t>Las Palmas</t>
  </si>
  <si>
    <t>Cliente 22</t>
  </si>
  <si>
    <t>Smartphone</t>
  </si>
  <si>
    <t>Córdoba</t>
  </si>
  <si>
    <t>Cliente 23</t>
  </si>
  <si>
    <t>Router</t>
  </si>
  <si>
    <t>Valladolid</t>
  </si>
  <si>
    <t>Cliente 24</t>
  </si>
  <si>
    <t>Disco Duro</t>
  </si>
  <si>
    <t>Vigo</t>
  </si>
  <si>
    <t>Cliente 25</t>
  </si>
  <si>
    <t>Memoria USB</t>
  </si>
  <si>
    <t>Gijón</t>
  </si>
  <si>
    <t>Cliente 26</t>
  </si>
  <si>
    <t>Cargador</t>
  </si>
  <si>
    <t>Granada</t>
  </si>
  <si>
    <t>Cliente 27</t>
  </si>
  <si>
    <t>Funda</t>
  </si>
  <si>
    <t>Oviedo</t>
  </si>
  <si>
    <t>Cliente 28</t>
  </si>
  <si>
    <t>Proyector</t>
  </si>
  <si>
    <t>Santander</t>
  </si>
  <si>
    <t>Cliente 29</t>
  </si>
  <si>
    <t>Micrófono</t>
  </si>
  <si>
    <t>Pamplona</t>
  </si>
  <si>
    <t>Cliente 30</t>
  </si>
  <si>
    <t>Cámara</t>
  </si>
  <si>
    <t>Toledo</t>
  </si>
  <si>
    <t>Cliente 31</t>
  </si>
  <si>
    <t>Cliente 32</t>
  </si>
  <si>
    <t>Cliente 33</t>
  </si>
  <si>
    <t>Cliente 34</t>
  </si>
  <si>
    <t>Cliente 35</t>
  </si>
  <si>
    <t>Cliente 36</t>
  </si>
  <si>
    <t>Cliente 37</t>
  </si>
  <si>
    <t>Cliente 38</t>
  </si>
  <si>
    <t>Cliente 39</t>
  </si>
  <si>
    <t>Cliente 40</t>
  </si>
  <si>
    <t>Cliente 41</t>
  </si>
  <si>
    <t>Cliente 42</t>
  </si>
  <si>
    <t>Cliente 43</t>
  </si>
  <si>
    <t>Cliente 44</t>
  </si>
  <si>
    <t>Cliente 45</t>
  </si>
  <si>
    <t>Cliente 46</t>
  </si>
  <si>
    <t>Cliente 47</t>
  </si>
  <si>
    <t>Cliente 48</t>
  </si>
  <si>
    <t>Cliente 49</t>
  </si>
  <si>
    <t>Cliente 50</t>
  </si>
  <si>
    <t>Cliente 51</t>
  </si>
  <si>
    <t>Cliente 52</t>
  </si>
  <si>
    <t>Cliente 53</t>
  </si>
  <si>
    <t>Cliente 54</t>
  </si>
  <si>
    <t>Cliente 55</t>
  </si>
  <si>
    <t>Cliente 56</t>
  </si>
  <si>
    <t>Cliente 57</t>
  </si>
  <si>
    <t>Cliente 58</t>
  </si>
  <si>
    <t>Cliente 59</t>
  </si>
  <si>
    <t>Cliente 60</t>
  </si>
  <si>
    <t>Cliente 61</t>
  </si>
  <si>
    <t>Cliente 62</t>
  </si>
  <si>
    <t>Cliente 63</t>
  </si>
  <si>
    <t>Cliente 64</t>
  </si>
  <si>
    <t>Cliente 65</t>
  </si>
  <si>
    <t>Cliente 66</t>
  </si>
  <si>
    <t>Cliente 67</t>
  </si>
  <si>
    <t>Cliente 68</t>
  </si>
  <si>
    <t>Cliente 69</t>
  </si>
  <si>
    <t>Cliente 70</t>
  </si>
  <si>
    <t>Cliente 71</t>
  </si>
  <si>
    <t>Cliente 72</t>
  </si>
  <si>
    <t>Cliente 73</t>
  </si>
  <si>
    <t>Cliente 74</t>
  </si>
  <si>
    <t>Cliente 75</t>
  </si>
  <si>
    <t>Cliente 76</t>
  </si>
  <si>
    <t>Cliente 77</t>
  </si>
  <si>
    <t>Cliente 78</t>
  </si>
  <si>
    <t>Cliente 79</t>
  </si>
  <si>
    <t>Cliente 80</t>
  </si>
  <si>
    <t>Cliente 81</t>
  </si>
  <si>
    <t>Cliente 82</t>
  </si>
  <si>
    <t>Cliente 83</t>
  </si>
  <si>
    <t>Cliente 84</t>
  </si>
  <si>
    <t>Cliente 85</t>
  </si>
  <si>
    <t>Cliente 86</t>
  </si>
  <si>
    <t>Cliente 87</t>
  </si>
  <si>
    <t>Cliente 88</t>
  </si>
  <si>
    <t>Cliente 89</t>
  </si>
  <si>
    <t>Cliente 90</t>
  </si>
  <si>
    <t>Cliente 91</t>
  </si>
  <si>
    <t>Cliente 92</t>
  </si>
  <si>
    <t>Cliente 93</t>
  </si>
  <si>
    <t>Cliente 94</t>
  </si>
  <si>
    <t>Cliente 95</t>
  </si>
  <si>
    <t>Cliente 96</t>
  </si>
  <si>
    <t>Cliente 97</t>
  </si>
  <si>
    <t>Cliente 98</t>
  </si>
  <si>
    <t>Cliente 99</t>
  </si>
  <si>
    <t>Categoría</t>
  </si>
  <si>
    <t>Electrónica</t>
  </si>
  <si>
    <t>Entretenimiento</t>
  </si>
  <si>
    <t>Hogar</t>
  </si>
  <si>
    <t>Unidades en Stock</t>
  </si>
  <si>
    <t>Fecha de Entrada</t>
  </si>
  <si>
    <t>Descuento Proveedor</t>
  </si>
  <si>
    <t>Precio con Descuento</t>
  </si>
  <si>
    <t>Valor Total en Stock</t>
  </si>
  <si>
    <t>Estado de Stock</t>
  </si>
  <si>
    <t>Portátil Lenovo X1</t>
  </si>
  <si>
    <t>Monitor LG 24"</t>
  </si>
  <si>
    <t>Teclado Mecánico</t>
  </si>
  <si>
    <t>Ratón Inalámbrico</t>
  </si>
  <si>
    <t>Auriculares Bluetooth</t>
  </si>
  <si>
    <t>Tablet Samsung</t>
  </si>
  <si>
    <t>Smartphone Xiaomi</t>
  </si>
  <si>
    <t>Router WiFi6</t>
  </si>
  <si>
    <t>Disco SSD 1TB</t>
  </si>
  <si>
    <t>Silla Ergonómica</t>
  </si>
  <si>
    <t>Oficina</t>
  </si>
  <si>
    <t>Mesa de Despacho</t>
  </si>
  <si>
    <t>Impresora Láser</t>
  </si>
  <si>
    <t>Papel A4 (paquete)</t>
  </si>
  <si>
    <t>Grapadora</t>
  </si>
  <si>
    <t>Aspiradora Robot</t>
  </si>
  <si>
    <t>Cafetera Automática</t>
  </si>
  <si>
    <t>Ventilador de Pie</t>
  </si>
  <si>
    <t>Proyector Portátil</t>
  </si>
  <si>
    <t>Altavoz Bluetooth</t>
  </si>
  <si>
    <t>Consola de Videojuegos</t>
  </si>
  <si>
    <t>Ejercicios Prácticos</t>
  </si>
  <si>
    <t>Nº</t>
  </si>
  <si>
    <t>Enunciado</t>
  </si>
  <si>
    <t>Aplica Autorrelleno para crear una columna nueva con el número de semana del año a partir de la Fecha de Entrada.</t>
  </si>
  <si>
    <t>Usa la herramienta Pincel (copiar formato) para aplicar el formato de la fila de encabezado a una fila nueva sin alterar sus datos.</t>
  </si>
  <si>
    <t>Inserta una columna nueva entre "Categoría" y "Precio Unitario" llamada "Proveedor" y rellénala con datos ficticios.</t>
  </si>
  <si>
    <t>Provoca deliberadamente un error #¡DIV/0! dividiendo un valor entre una celda vacía, y después corrígelo.</t>
  </si>
  <si>
    <t>Crea un pequeño reporte con CONTAR.SI y SUMAR.SI que muestre cuántos productos tienen Estado de Stock = "Reponer" y cuál es su Valor Total en Stock combinado.</t>
  </si>
  <si>
    <t>Calcula cuántos productos hay registrados en la columna A.</t>
  </si>
  <si>
    <t>Calcula el precio medio de todos los productos sobre la columna Precio Unitario.</t>
  </si>
  <si>
    <t>Encuentra el producto más caro y el más barato sobre la columna Precio Unitario.</t>
  </si>
  <si>
    <t>Cuenta cuántos productos pertenecen a la categoría "Electrónica".</t>
  </si>
  <si>
    <t>Calcula el Valor Total en Stock de los productos de la categoría "Hogar".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</si>
</sst>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hh:mm"/>
    <numFmt numFmtId="165" formatCode="#,##0.00\ \€"/>
    <numFmt numFmtId="166" formatCode="0\ %"/>
    <numFmt numFmtId="170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E714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7F3E8"/>
        <bgColor indexed="64"/>
      </patternFill>
    </fill>
    <fill>
      <patternFill patternType="solid">
        <fgColor rgb="FFB5E6A2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Font="1" applyFill="1"/>
    <xf numFmtId="0" fontId="0" fillId="3" borderId="0" xfId="0" applyFill="1"/>
    <xf numFmtId="3" fontId="0" fillId="3" borderId="0" xfId="0" applyNumberFormat="1" applyFill="1"/>
    <xf numFmtId="14" fontId="0" fillId="3" borderId="0" xfId="0" applyNumberFormat="1" applyFill="1"/>
    <xf numFmtId="165" fontId="0" fillId="3" borderId="0" xfId="0" applyNumberFormat="1" applyFill="1"/>
    <xf numFmtId="166" fontId="0" fillId="3" borderId="0" xfId="0" applyNumberFormat="1" applyFill="1"/>
    <xf numFmtId="0" fontId="0" fillId="4" borderId="0" xfId="0" applyFill="1"/>
    <xf numFmtId="3" fontId="0" fillId="4" borderId="0" xfId="0" applyNumberFormat="1" applyFill="1"/>
    <xf numFmtId="14" fontId="0" fillId="4" borderId="0" xfId="0" applyNumberFormat="1" applyFill="1"/>
    <xf numFmtId="165" fontId="0" fillId="4" borderId="0" xfId="0" applyNumberFormat="1" applyFill="1"/>
    <xf numFmtId="166" fontId="0" fillId="4" borderId="0" xfId="0" applyNumberFormat="1" applyFill="1"/>
    <xf numFmtId="170" fontId="0" fillId="0" borderId="0" xfId="0" applyNumberFormat="1"/>
    <xf numFmtId="1" fontId="0" fillId="0" borderId="0" xfId="0" applyNumberFormat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0" fillId="3" borderId="1" xfId="0" applyFont="1" applyFill="1" applyBorder="1"/>
    <xf numFmtId="0" fontId="0" fillId="3" borderId="2" xfId="0" applyFont="1" applyFill="1" applyBorder="1"/>
    <xf numFmtId="3" fontId="0" fillId="3" borderId="2" xfId="0" applyNumberFormat="1" applyFont="1" applyFill="1" applyBorder="1"/>
    <xf numFmtId="14" fontId="0" fillId="3" borderId="2" xfId="0" applyNumberFormat="1" applyFont="1" applyFill="1" applyBorder="1"/>
    <xf numFmtId="164" fontId="0" fillId="3" borderId="2" xfId="0" applyNumberFormat="1" applyFont="1" applyFill="1" applyBorder="1"/>
    <xf numFmtId="165" fontId="0" fillId="3" borderId="2" xfId="0" applyNumberFormat="1" applyFont="1" applyFill="1" applyBorder="1"/>
    <xf numFmtId="166" fontId="0" fillId="3" borderId="2" xfId="0" applyNumberFormat="1" applyFont="1" applyFill="1" applyBorder="1"/>
    <xf numFmtId="0" fontId="0" fillId="3" borderId="3" xfId="0" applyFont="1" applyFill="1" applyBorder="1"/>
    <xf numFmtId="0" fontId="0" fillId="4" borderId="1" xfId="0" applyFont="1" applyFill="1" applyBorder="1"/>
    <xf numFmtId="0" fontId="0" fillId="4" borderId="2" xfId="0" applyFont="1" applyFill="1" applyBorder="1"/>
    <xf numFmtId="3" fontId="0" fillId="4" borderId="2" xfId="0" applyNumberFormat="1" applyFont="1" applyFill="1" applyBorder="1"/>
    <xf numFmtId="14" fontId="0" fillId="4" borderId="2" xfId="0" applyNumberFormat="1" applyFont="1" applyFill="1" applyBorder="1"/>
    <xf numFmtId="164" fontId="0" fillId="4" borderId="2" xfId="0" applyNumberFormat="1" applyFont="1" applyFill="1" applyBorder="1"/>
    <xf numFmtId="165" fontId="0" fillId="4" borderId="2" xfId="0" applyNumberFormat="1" applyFont="1" applyFill="1" applyBorder="1"/>
    <xf numFmtId="166" fontId="0" fillId="4" borderId="2" xfId="0" applyNumberFormat="1" applyFont="1" applyFill="1" applyBorder="1"/>
    <xf numFmtId="0" fontId="0" fillId="4" borderId="3" xfId="0" applyFont="1" applyFill="1" applyBorder="1"/>
    <xf numFmtId="0" fontId="1" fillId="5" borderId="0" xfId="0" applyFont="1" applyFill="1"/>
    <xf numFmtId="0" fontId="0" fillId="0" borderId="0" xfId="0"/>
    <xf numFmtId="0" fontId="1" fillId="5" borderId="0" xfId="0" applyFont="1" applyFill="1"/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  <wetp:taskpane dockstate="right" visibility="0" width="438" row="6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F4AA5363-852E-42DE-8AD0-5ECD14A0F3C0}">
  <we:reference id="wa200009404" version="1.0.0.8" store="es-ES" storeType="OMEX"/>
  <we:alternateReferences>
    <we:reference id="wa200009404" version="1.0.0.8" store="WA200009404" storeType="OMEX"/>
  </we:alternateReferences>
  <we:properties>
    <we:property name="claude.fileId" value="&quot;b9b77d93-9a26-4146-adf3-202a163b3373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EB2A6C3E-A5FD-445B-BA83-A23568F4A510}">
  <we:reference id="wa200010725" version="1.0.0.1" store="es-ES" storeType="OMEX"/>
  <we:alternateReferences>
    <we:reference id="WA200010725" version="1.0.0.1" store="" storeType="OMEX"/>
  </we:alternateReferences>
  <we:properties>
    <we:property name="claude.fileId" value="&quot;0e66e161-e204-4a07-98fb-e70f8bf0506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6D68C-3AEA-4405-BC9B-AD35A08556AB}">
  <dimension ref="A1:W100"/>
  <sheetViews>
    <sheetView tabSelected="1" workbookViewId="0">
      <selection activeCell="M5" sqref="M5"/>
    </sheetView>
  </sheetViews>
  <sheetFormatPr baseColWidth="10" defaultRowHeight="14.4" x14ac:dyDescent="0.3"/>
  <cols>
    <col min="1" max="1" width="9" bestFit="1" customWidth="1"/>
    <col min="2" max="2" width="11.77734375" bestFit="1" customWidth="1"/>
    <col min="3" max="3" width="10.5546875" customWidth="1"/>
    <col min="4" max="4" width="14.109375" customWidth="1"/>
    <col min="5" max="5" width="13.109375" customWidth="1"/>
    <col min="6" max="6" width="15.21875" customWidth="1"/>
    <col min="7" max="7" width="11.6640625" customWidth="1"/>
    <col min="8" max="8" width="14" customWidth="1"/>
    <col min="9" max="9" width="9.6640625" bestFit="1" customWidth="1"/>
    <col min="10" max="10" width="14.33203125" bestFit="1" customWidth="1"/>
    <col min="11" max="11" width="10.109375" bestFit="1" customWidth="1"/>
    <col min="13" max="14" width="11.88671875" customWidth="1"/>
    <col min="22" max="23" width="11.5546875" customWidth="1"/>
  </cols>
  <sheetData>
    <row r="1" spans="1:13" x14ac:dyDescent="0.3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6" t="s">
        <v>10</v>
      </c>
    </row>
    <row r="2" spans="1:13" x14ac:dyDescent="0.3">
      <c r="A2" s="17" t="s">
        <v>11</v>
      </c>
      <c r="B2" s="18" t="s">
        <v>12</v>
      </c>
      <c r="C2" s="19">
        <v>3</v>
      </c>
      <c r="D2" s="20">
        <v>46280</v>
      </c>
      <c r="E2" s="21">
        <v>0.39583333333333331</v>
      </c>
      <c r="F2" s="22">
        <v>450</v>
      </c>
      <c r="G2" s="23">
        <v>0.1</v>
      </c>
      <c r="H2" s="22">
        <f>C2*F2*(1-G2)</f>
        <v>1215</v>
      </c>
      <c r="I2" s="18" t="s">
        <v>13</v>
      </c>
      <c r="J2" s="18" t="s">
        <v>14</v>
      </c>
      <c r="K2" s="24" t="s">
        <v>104</v>
      </c>
      <c r="M2" s="12"/>
    </row>
    <row r="3" spans="1:13" x14ac:dyDescent="0.3">
      <c r="A3" s="25" t="s">
        <v>16</v>
      </c>
      <c r="B3" s="26" t="s">
        <v>17</v>
      </c>
      <c r="C3" s="27">
        <v>5</v>
      </c>
      <c r="D3" s="28">
        <v>46281</v>
      </c>
      <c r="E3" s="29">
        <v>0.42708333333333331</v>
      </c>
      <c r="F3" s="30">
        <v>180.5</v>
      </c>
      <c r="G3" s="31">
        <v>0.05</v>
      </c>
      <c r="H3" s="30">
        <f>C3*F3*(1-G3)</f>
        <v>857.375</v>
      </c>
      <c r="I3" s="26" t="s">
        <v>18</v>
      </c>
      <c r="J3" s="26" t="s">
        <v>19</v>
      </c>
      <c r="K3" s="32" t="s">
        <v>89</v>
      </c>
      <c r="M3" s="13"/>
    </row>
    <row r="4" spans="1:13" x14ac:dyDescent="0.3">
      <c r="A4" s="17" t="s">
        <v>21</v>
      </c>
      <c r="B4" s="18" t="s">
        <v>22</v>
      </c>
      <c r="C4" s="19">
        <v>10</v>
      </c>
      <c r="D4" s="20">
        <v>46282</v>
      </c>
      <c r="E4" s="21">
        <v>0.45833333333333331</v>
      </c>
      <c r="F4" s="22">
        <v>25</v>
      </c>
      <c r="G4" s="23">
        <v>0</v>
      </c>
      <c r="H4" s="22">
        <f>C4*F4*(1-G4)</f>
        <v>250</v>
      </c>
      <c r="I4" s="18" t="s">
        <v>13</v>
      </c>
      <c r="J4" s="18" t="s">
        <v>23</v>
      </c>
      <c r="K4" s="24" t="s">
        <v>80</v>
      </c>
    </row>
    <row r="5" spans="1:13" x14ac:dyDescent="0.3">
      <c r="A5" s="25" t="s">
        <v>25</v>
      </c>
      <c r="B5" s="26" t="s">
        <v>26</v>
      </c>
      <c r="C5" s="27">
        <v>8</v>
      </c>
      <c r="D5" s="28">
        <v>46283</v>
      </c>
      <c r="E5" s="29">
        <v>0.53125</v>
      </c>
      <c r="F5" s="30">
        <v>15</v>
      </c>
      <c r="G5" s="31">
        <v>0.15</v>
      </c>
      <c r="H5" s="30">
        <f>C5*F5*(1-G5)</f>
        <v>102</v>
      </c>
      <c r="I5" s="26" t="s">
        <v>27</v>
      </c>
      <c r="J5" s="26" t="s">
        <v>28</v>
      </c>
      <c r="K5" s="32" t="s">
        <v>41</v>
      </c>
    </row>
    <row r="6" spans="1:13" x14ac:dyDescent="0.3">
      <c r="A6" s="17" t="s">
        <v>30</v>
      </c>
      <c r="B6" s="18" t="s">
        <v>31</v>
      </c>
      <c r="C6" s="19">
        <v>2</v>
      </c>
      <c r="D6" s="20">
        <v>46284</v>
      </c>
      <c r="E6" s="21">
        <v>0.60416666666666663</v>
      </c>
      <c r="F6" s="22">
        <v>210</v>
      </c>
      <c r="G6" s="23">
        <v>0.08</v>
      </c>
      <c r="H6" s="22">
        <f>C6*F6*(1-G6)</f>
        <v>386.40000000000003</v>
      </c>
      <c r="I6" s="18" t="s">
        <v>13</v>
      </c>
      <c r="J6" s="18" t="s">
        <v>32</v>
      </c>
      <c r="K6" s="24" t="s">
        <v>104</v>
      </c>
    </row>
    <row r="7" spans="1:13" x14ac:dyDescent="0.3">
      <c r="A7" s="25" t="s">
        <v>34</v>
      </c>
      <c r="B7" s="26" t="s">
        <v>35</v>
      </c>
      <c r="C7" s="27">
        <v>4</v>
      </c>
      <c r="D7" s="28">
        <v>46285</v>
      </c>
      <c r="E7" s="29">
        <v>0.63888888888888895</v>
      </c>
      <c r="F7" s="30">
        <v>95</v>
      </c>
      <c r="G7" s="31">
        <v>0.12</v>
      </c>
      <c r="H7" s="30">
        <f>C7*F7*(1-G7)</f>
        <v>334.4</v>
      </c>
      <c r="I7" s="26" t="s">
        <v>18</v>
      </c>
      <c r="J7" s="26" t="s">
        <v>36</v>
      </c>
      <c r="K7" s="32" t="s">
        <v>98</v>
      </c>
    </row>
    <row r="8" spans="1:13" x14ac:dyDescent="0.3">
      <c r="A8" s="17" t="s">
        <v>38</v>
      </c>
      <c r="B8" s="18" t="s">
        <v>39</v>
      </c>
      <c r="C8" s="19">
        <v>1</v>
      </c>
      <c r="D8" s="20">
        <v>46286</v>
      </c>
      <c r="E8" s="21">
        <v>0.66666666666666663</v>
      </c>
      <c r="F8" s="22">
        <v>320</v>
      </c>
      <c r="G8" s="23">
        <v>0</v>
      </c>
      <c r="H8" s="22">
        <f>C8*F8*(1-G8)</f>
        <v>320</v>
      </c>
      <c r="I8" s="18" t="s">
        <v>13</v>
      </c>
      <c r="J8" s="18" t="s">
        <v>40</v>
      </c>
      <c r="K8" s="24" t="s">
        <v>29</v>
      </c>
    </row>
    <row r="9" spans="1:13" x14ac:dyDescent="0.3">
      <c r="A9" s="25" t="s">
        <v>42</v>
      </c>
      <c r="B9" s="26" t="s">
        <v>43</v>
      </c>
      <c r="C9" s="27">
        <v>6</v>
      </c>
      <c r="D9" s="28">
        <v>46287</v>
      </c>
      <c r="E9" s="29">
        <v>0.375</v>
      </c>
      <c r="F9" s="30">
        <v>45</v>
      </c>
      <c r="G9" s="31">
        <v>0.2</v>
      </c>
      <c r="H9" s="30">
        <f>C9*F9*(1-G9)</f>
        <v>216</v>
      </c>
      <c r="I9" s="26" t="s">
        <v>44</v>
      </c>
      <c r="J9" s="26" t="s">
        <v>45</v>
      </c>
      <c r="K9" s="32" t="s">
        <v>104</v>
      </c>
    </row>
    <row r="10" spans="1:13" x14ac:dyDescent="0.3">
      <c r="A10" s="17" t="s">
        <v>47</v>
      </c>
      <c r="B10" s="18" t="s">
        <v>48</v>
      </c>
      <c r="C10" s="19">
        <v>7</v>
      </c>
      <c r="D10" s="20">
        <v>46288</v>
      </c>
      <c r="E10" s="21">
        <v>0.55208333333333337</v>
      </c>
      <c r="F10" s="22">
        <v>60</v>
      </c>
      <c r="G10" s="23">
        <v>0.1</v>
      </c>
      <c r="H10" s="22">
        <f>C10*F10*(1-G10)</f>
        <v>378</v>
      </c>
      <c r="I10" s="18" t="s">
        <v>13</v>
      </c>
      <c r="J10" s="18" t="s">
        <v>49</v>
      </c>
      <c r="K10" s="24" t="s">
        <v>50</v>
      </c>
    </row>
    <row r="11" spans="1:13" x14ac:dyDescent="0.3">
      <c r="A11" s="25" t="s">
        <v>51</v>
      </c>
      <c r="B11" s="26" t="s">
        <v>52</v>
      </c>
      <c r="C11" s="27">
        <v>3</v>
      </c>
      <c r="D11" s="28">
        <v>46289</v>
      </c>
      <c r="E11" s="29">
        <v>0.73958333333333337</v>
      </c>
      <c r="F11" s="30">
        <v>75</v>
      </c>
      <c r="G11" s="31">
        <v>0.05</v>
      </c>
      <c r="H11" s="30">
        <f>C11*F11*(1-G11)</f>
        <v>213.75</v>
      </c>
      <c r="I11" s="26" t="s">
        <v>18</v>
      </c>
      <c r="J11" s="26" t="s">
        <v>53</v>
      </c>
      <c r="K11" s="32" t="s">
        <v>89</v>
      </c>
    </row>
    <row r="12" spans="1:13" x14ac:dyDescent="0.3">
      <c r="A12" s="17" t="s">
        <v>54</v>
      </c>
      <c r="B12" s="18" t="s">
        <v>12</v>
      </c>
      <c r="C12" s="19">
        <v>11</v>
      </c>
      <c r="D12" s="20">
        <v>46290</v>
      </c>
      <c r="E12" s="21">
        <v>0.33333333333333331</v>
      </c>
      <c r="F12" s="22">
        <v>15</v>
      </c>
      <c r="G12" s="23">
        <v>0</v>
      </c>
      <c r="H12" s="22">
        <f>C12*F12*(1-G12)</f>
        <v>165</v>
      </c>
      <c r="I12" s="18" t="s">
        <v>13</v>
      </c>
      <c r="J12" s="18" t="s">
        <v>55</v>
      </c>
      <c r="K12" s="24" t="s">
        <v>74</v>
      </c>
    </row>
    <row r="13" spans="1:13" x14ac:dyDescent="0.3">
      <c r="A13" s="25" t="s">
        <v>56</v>
      </c>
      <c r="B13" s="26" t="s">
        <v>17</v>
      </c>
      <c r="C13" s="27">
        <v>12</v>
      </c>
      <c r="D13" s="28">
        <v>46291</v>
      </c>
      <c r="E13" s="29">
        <v>0.47916666666666669</v>
      </c>
      <c r="F13" s="30">
        <v>25</v>
      </c>
      <c r="G13" s="31">
        <v>0.1</v>
      </c>
      <c r="H13" s="30">
        <f>C13*F13*(1-G13)</f>
        <v>270</v>
      </c>
      <c r="I13" s="26" t="s">
        <v>18</v>
      </c>
      <c r="J13" s="26" t="s">
        <v>57</v>
      </c>
      <c r="K13" s="32" t="s">
        <v>89</v>
      </c>
    </row>
    <row r="14" spans="1:13" x14ac:dyDescent="0.3">
      <c r="A14" s="17" t="s">
        <v>58</v>
      </c>
      <c r="B14" s="18" t="s">
        <v>22</v>
      </c>
      <c r="C14" s="19">
        <v>4</v>
      </c>
      <c r="D14" s="20">
        <v>46292</v>
      </c>
      <c r="E14" s="21">
        <v>0.38541666666666669</v>
      </c>
      <c r="F14" s="22">
        <v>45</v>
      </c>
      <c r="G14" s="23">
        <v>0</v>
      </c>
      <c r="H14" s="22">
        <f>C14*F14*(1-G14)</f>
        <v>180</v>
      </c>
      <c r="I14" s="18" t="s">
        <v>27</v>
      </c>
      <c r="J14" s="18" t="s">
        <v>59</v>
      </c>
      <c r="K14" s="24" t="s">
        <v>104</v>
      </c>
    </row>
    <row r="15" spans="1:13" x14ac:dyDescent="0.3">
      <c r="A15" s="25" t="s">
        <v>60</v>
      </c>
      <c r="B15" s="26" t="s">
        <v>26</v>
      </c>
      <c r="C15" s="27">
        <v>8</v>
      </c>
      <c r="D15" s="28">
        <v>46293</v>
      </c>
      <c r="E15" s="29">
        <v>0.75</v>
      </c>
      <c r="F15" s="30">
        <v>60</v>
      </c>
      <c r="G15" s="31">
        <v>0.12</v>
      </c>
      <c r="H15" s="30">
        <f>C15*F15*(1-G15)</f>
        <v>422.4</v>
      </c>
      <c r="I15" s="26" t="s">
        <v>44</v>
      </c>
      <c r="J15" s="26" t="s">
        <v>61</v>
      </c>
      <c r="K15" s="32" t="s">
        <v>20</v>
      </c>
    </row>
    <row r="16" spans="1:13" x14ac:dyDescent="0.3">
      <c r="A16" s="17" t="s">
        <v>62</v>
      </c>
      <c r="B16" s="18" t="s">
        <v>31</v>
      </c>
      <c r="C16" s="19">
        <v>8</v>
      </c>
      <c r="D16" s="20">
        <v>46294</v>
      </c>
      <c r="E16" s="21">
        <v>0.625</v>
      </c>
      <c r="F16" s="22">
        <v>75</v>
      </c>
      <c r="G16" s="23">
        <v>0</v>
      </c>
      <c r="H16" s="22">
        <f>C16*F16*(1-G16)</f>
        <v>600</v>
      </c>
      <c r="I16" s="18" t="s">
        <v>13</v>
      </c>
      <c r="J16" s="18" t="s">
        <v>63</v>
      </c>
      <c r="K16" s="24" t="s">
        <v>89</v>
      </c>
    </row>
    <row r="17" spans="1:11" x14ac:dyDescent="0.3">
      <c r="A17" s="25" t="s">
        <v>64</v>
      </c>
      <c r="B17" s="26" t="s">
        <v>35</v>
      </c>
      <c r="C17" s="27">
        <v>8</v>
      </c>
      <c r="D17" s="28">
        <v>46295</v>
      </c>
      <c r="E17" s="29">
        <v>0.69791666666666663</v>
      </c>
      <c r="F17" s="30">
        <v>95</v>
      </c>
      <c r="G17" s="31">
        <v>0.18</v>
      </c>
      <c r="H17" s="30">
        <f>C17*F17*(1-G17)</f>
        <v>623.20000000000005</v>
      </c>
      <c r="I17" s="26" t="s">
        <v>18</v>
      </c>
      <c r="J17" s="26" t="s">
        <v>65</v>
      </c>
      <c r="K17" s="32" t="s">
        <v>92</v>
      </c>
    </row>
    <row r="18" spans="1:11" x14ac:dyDescent="0.3">
      <c r="A18" s="17" t="s">
        <v>66</v>
      </c>
      <c r="B18" s="18" t="s">
        <v>39</v>
      </c>
      <c r="C18" s="19">
        <v>4</v>
      </c>
      <c r="D18" s="20">
        <v>46296</v>
      </c>
      <c r="E18" s="21">
        <v>0.70833333333333337</v>
      </c>
      <c r="F18" s="22">
        <v>120</v>
      </c>
      <c r="G18" s="23">
        <v>0</v>
      </c>
      <c r="H18" s="22">
        <f>C18*F18*(1-G18)</f>
        <v>480</v>
      </c>
      <c r="I18" s="18" t="s">
        <v>27</v>
      </c>
      <c r="J18" s="18" t="s">
        <v>67</v>
      </c>
      <c r="K18" s="24" t="s">
        <v>83</v>
      </c>
    </row>
    <row r="19" spans="1:11" x14ac:dyDescent="0.3">
      <c r="A19" s="25" t="s">
        <v>68</v>
      </c>
      <c r="B19" s="26" t="s">
        <v>43</v>
      </c>
      <c r="C19" s="27">
        <v>12</v>
      </c>
      <c r="D19" s="28">
        <v>46297</v>
      </c>
      <c r="E19" s="29">
        <v>0.51041666666666663</v>
      </c>
      <c r="F19" s="30">
        <v>150</v>
      </c>
      <c r="G19" s="31">
        <v>0.15</v>
      </c>
      <c r="H19" s="30">
        <f>C19*F19*(1-G19)</f>
        <v>1530</v>
      </c>
      <c r="I19" s="26" t="s">
        <v>44</v>
      </c>
      <c r="J19" s="26" t="s">
        <v>69</v>
      </c>
      <c r="K19" s="32" t="s">
        <v>24</v>
      </c>
    </row>
    <row r="20" spans="1:11" x14ac:dyDescent="0.3">
      <c r="A20" s="17" t="s">
        <v>70</v>
      </c>
      <c r="B20" s="18" t="s">
        <v>48</v>
      </c>
      <c r="C20" s="19">
        <v>15</v>
      </c>
      <c r="D20" s="20">
        <v>46298</v>
      </c>
      <c r="E20" s="21">
        <v>0.67708333333333337</v>
      </c>
      <c r="F20" s="22">
        <v>180.5</v>
      </c>
      <c r="G20" s="23">
        <v>0</v>
      </c>
      <c r="H20" s="22">
        <f>C20*F20*(1-G20)</f>
        <v>2707.5</v>
      </c>
      <c r="I20" s="18" t="s">
        <v>13</v>
      </c>
      <c r="J20" s="18" t="s">
        <v>71</v>
      </c>
      <c r="K20" s="24" t="s">
        <v>50</v>
      </c>
    </row>
    <row r="21" spans="1:11" x14ac:dyDescent="0.3">
      <c r="A21" s="25" t="s">
        <v>72</v>
      </c>
      <c r="B21" s="26" t="s">
        <v>52</v>
      </c>
      <c r="C21" s="27">
        <v>5</v>
      </c>
      <c r="D21" s="28">
        <v>46299</v>
      </c>
      <c r="E21" s="29">
        <v>0.75</v>
      </c>
      <c r="F21" s="30">
        <v>210</v>
      </c>
      <c r="G21" s="31">
        <v>0.2</v>
      </c>
      <c r="H21" s="30">
        <f>C21*F21*(1-G21)</f>
        <v>840</v>
      </c>
      <c r="I21" s="26" t="s">
        <v>18</v>
      </c>
      <c r="J21" s="26" t="s">
        <v>73</v>
      </c>
      <c r="K21" s="32" t="s">
        <v>46</v>
      </c>
    </row>
    <row r="22" spans="1:11" x14ac:dyDescent="0.3">
      <c r="A22" s="17" t="s">
        <v>75</v>
      </c>
      <c r="B22" s="18" t="s">
        <v>76</v>
      </c>
      <c r="C22" s="19">
        <v>15</v>
      </c>
      <c r="D22" s="20">
        <v>46300</v>
      </c>
      <c r="E22" s="21">
        <v>0.55208333333333337</v>
      </c>
      <c r="F22" s="22">
        <v>250</v>
      </c>
      <c r="G22" s="23">
        <v>0</v>
      </c>
      <c r="H22" s="22">
        <f>C22*F22*(1-G22)</f>
        <v>3750</v>
      </c>
      <c r="I22" s="18" t="s">
        <v>27</v>
      </c>
      <c r="J22" s="18" t="s">
        <v>14</v>
      </c>
      <c r="K22" s="24" t="s">
        <v>33</v>
      </c>
    </row>
    <row r="23" spans="1:11" x14ac:dyDescent="0.3">
      <c r="A23" s="25" t="s">
        <v>78</v>
      </c>
      <c r="B23" s="26" t="s">
        <v>79</v>
      </c>
      <c r="C23" s="27">
        <v>9</v>
      </c>
      <c r="D23" s="28">
        <v>46301</v>
      </c>
      <c r="E23" s="29">
        <v>0.67708333333333337</v>
      </c>
      <c r="F23" s="30">
        <v>320</v>
      </c>
      <c r="G23" s="31">
        <v>0.05</v>
      </c>
      <c r="H23" s="30">
        <f>C23*F23*(1-G23)</f>
        <v>2736</v>
      </c>
      <c r="I23" s="26" t="s">
        <v>44</v>
      </c>
      <c r="J23" s="26" t="s">
        <v>19</v>
      </c>
      <c r="K23" s="32" t="s">
        <v>86</v>
      </c>
    </row>
    <row r="24" spans="1:11" x14ac:dyDescent="0.3">
      <c r="A24" s="17" t="s">
        <v>81</v>
      </c>
      <c r="B24" s="18" t="s">
        <v>82</v>
      </c>
      <c r="C24" s="19">
        <v>14</v>
      </c>
      <c r="D24" s="20">
        <v>46302</v>
      </c>
      <c r="E24" s="21">
        <v>0.42708333333333331</v>
      </c>
      <c r="F24" s="22">
        <v>380</v>
      </c>
      <c r="G24" s="23">
        <v>0</v>
      </c>
      <c r="H24" s="22">
        <f>C24*F24*(1-G24)</f>
        <v>5320</v>
      </c>
      <c r="I24" s="18" t="s">
        <v>13</v>
      </c>
      <c r="J24" s="18" t="s">
        <v>23</v>
      </c>
      <c r="K24" s="24" t="s">
        <v>80</v>
      </c>
    </row>
    <row r="25" spans="1:11" x14ac:dyDescent="0.3">
      <c r="A25" s="25" t="s">
        <v>84</v>
      </c>
      <c r="B25" s="26" t="s">
        <v>85</v>
      </c>
      <c r="C25" s="27">
        <v>11</v>
      </c>
      <c r="D25" s="28">
        <v>46303</v>
      </c>
      <c r="E25" s="29">
        <v>0.66666666666666663</v>
      </c>
      <c r="F25" s="30">
        <v>450</v>
      </c>
      <c r="G25" s="31">
        <v>0.08</v>
      </c>
      <c r="H25" s="30">
        <f>C25*F25*(1-G25)</f>
        <v>4554</v>
      </c>
      <c r="I25" s="26" t="s">
        <v>18</v>
      </c>
      <c r="J25" s="26" t="s">
        <v>28</v>
      </c>
      <c r="K25" s="32" t="s">
        <v>101</v>
      </c>
    </row>
    <row r="26" spans="1:11" x14ac:dyDescent="0.3">
      <c r="A26" s="17" t="s">
        <v>87</v>
      </c>
      <c r="B26" s="18" t="s">
        <v>88</v>
      </c>
      <c r="C26" s="19">
        <v>7</v>
      </c>
      <c r="D26" s="20">
        <v>46304</v>
      </c>
      <c r="E26" s="21">
        <v>0.69791666666666663</v>
      </c>
      <c r="F26" s="22">
        <v>520</v>
      </c>
      <c r="G26" s="23">
        <v>0</v>
      </c>
      <c r="H26" s="22">
        <f>C26*F26*(1-G26)</f>
        <v>3640</v>
      </c>
      <c r="I26" s="18" t="s">
        <v>27</v>
      </c>
      <c r="J26" s="18" t="s">
        <v>32</v>
      </c>
      <c r="K26" s="24" t="s">
        <v>24</v>
      </c>
    </row>
    <row r="27" spans="1:11" x14ac:dyDescent="0.3">
      <c r="A27" s="25" t="s">
        <v>90</v>
      </c>
      <c r="B27" s="26" t="s">
        <v>91</v>
      </c>
      <c r="C27" s="27">
        <v>3</v>
      </c>
      <c r="D27" s="28">
        <v>46305</v>
      </c>
      <c r="E27" s="29">
        <v>0.34375</v>
      </c>
      <c r="F27" s="30">
        <v>600</v>
      </c>
      <c r="G27" s="31">
        <v>0.1</v>
      </c>
      <c r="H27" s="30">
        <f>C27*F27*(1-G27)</f>
        <v>1620</v>
      </c>
      <c r="I27" s="26" t="s">
        <v>44</v>
      </c>
      <c r="J27" s="26" t="s">
        <v>36</v>
      </c>
      <c r="K27" s="32" t="s">
        <v>95</v>
      </c>
    </row>
    <row r="28" spans="1:11" x14ac:dyDescent="0.3">
      <c r="A28" s="17" t="s">
        <v>93</v>
      </c>
      <c r="B28" s="18" t="s">
        <v>94</v>
      </c>
      <c r="C28" s="19">
        <v>3</v>
      </c>
      <c r="D28" s="20">
        <v>46306</v>
      </c>
      <c r="E28" s="21">
        <v>0.66666666666666663</v>
      </c>
      <c r="F28" s="22">
        <v>15</v>
      </c>
      <c r="G28" s="23">
        <v>0</v>
      </c>
      <c r="H28" s="22">
        <f>C28*F28*(1-G28)</f>
        <v>45</v>
      </c>
      <c r="I28" s="18" t="s">
        <v>13</v>
      </c>
      <c r="J28" s="18" t="s">
        <v>40</v>
      </c>
      <c r="K28" s="24" t="s">
        <v>83</v>
      </c>
    </row>
    <row r="29" spans="1:11" x14ac:dyDescent="0.3">
      <c r="A29" s="25" t="s">
        <v>96</v>
      </c>
      <c r="B29" s="26" t="s">
        <v>97</v>
      </c>
      <c r="C29" s="27">
        <v>5</v>
      </c>
      <c r="D29" s="28">
        <v>46307</v>
      </c>
      <c r="E29" s="29">
        <v>0.46875</v>
      </c>
      <c r="F29" s="30">
        <v>25</v>
      </c>
      <c r="G29" s="31">
        <v>0.12</v>
      </c>
      <c r="H29" s="30">
        <f>C29*F29*(1-G29)</f>
        <v>110</v>
      </c>
      <c r="I29" s="26" t="s">
        <v>18</v>
      </c>
      <c r="J29" s="26" t="s">
        <v>45</v>
      </c>
      <c r="K29" s="32" t="s">
        <v>89</v>
      </c>
    </row>
    <row r="30" spans="1:11" x14ac:dyDescent="0.3">
      <c r="A30" s="17" t="s">
        <v>99</v>
      </c>
      <c r="B30" s="18" t="s">
        <v>100</v>
      </c>
      <c r="C30" s="19">
        <v>6</v>
      </c>
      <c r="D30" s="20">
        <v>46308</v>
      </c>
      <c r="E30" s="21">
        <v>0.41666666666666669</v>
      </c>
      <c r="F30" s="22">
        <v>45</v>
      </c>
      <c r="G30" s="23">
        <v>0</v>
      </c>
      <c r="H30" s="22">
        <f>C30*F30*(1-G30)</f>
        <v>270</v>
      </c>
      <c r="I30" s="18" t="s">
        <v>27</v>
      </c>
      <c r="J30" s="18" t="s">
        <v>49</v>
      </c>
      <c r="K30" s="24" t="s">
        <v>98</v>
      </c>
    </row>
    <row r="31" spans="1:11" x14ac:dyDescent="0.3">
      <c r="A31" s="25" t="s">
        <v>102</v>
      </c>
      <c r="B31" s="26" t="s">
        <v>103</v>
      </c>
      <c r="C31" s="27">
        <v>7</v>
      </c>
      <c r="D31" s="28">
        <v>46309</v>
      </c>
      <c r="E31" s="29">
        <v>0.5</v>
      </c>
      <c r="F31" s="30">
        <v>60</v>
      </c>
      <c r="G31" s="31">
        <v>0.15</v>
      </c>
      <c r="H31" s="30">
        <f>C31*F31*(1-G31)</f>
        <v>357</v>
      </c>
      <c r="I31" s="26" t="s">
        <v>44</v>
      </c>
      <c r="J31" s="26" t="s">
        <v>53</v>
      </c>
      <c r="K31" s="32" t="s">
        <v>83</v>
      </c>
    </row>
    <row r="32" spans="1:11" x14ac:dyDescent="0.3">
      <c r="A32" s="17" t="s">
        <v>105</v>
      </c>
      <c r="B32" s="18" t="s">
        <v>12</v>
      </c>
      <c r="C32" s="19">
        <v>12</v>
      </c>
      <c r="D32" s="20">
        <v>46310</v>
      </c>
      <c r="E32" s="21">
        <v>0.34375</v>
      </c>
      <c r="F32" s="22">
        <v>75</v>
      </c>
      <c r="G32" s="23">
        <v>0</v>
      </c>
      <c r="H32" s="22">
        <f>C32*F32*(1-G32)</f>
        <v>900</v>
      </c>
      <c r="I32" s="18" t="s">
        <v>13</v>
      </c>
      <c r="J32" s="18" t="s">
        <v>55</v>
      </c>
      <c r="K32" s="24" t="s">
        <v>46</v>
      </c>
    </row>
    <row r="33" spans="1:11" x14ac:dyDescent="0.3">
      <c r="A33" s="25" t="s">
        <v>106</v>
      </c>
      <c r="B33" s="26" t="s">
        <v>17</v>
      </c>
      <c r="C33" s="27">
        <v>7</v>
      </c>
      <c r="D33" s="28">
        <v>46311</v>
      </c>
      <c r="E33" s="29">
        <v>0.59375</v>
      </c>
      <c r="F33" s="30">
        <v>95</v>
      </c>
      <c r="G33" s="31">
        <v>0.18</v>
      </c>
      <c r="H33" s="30">
        <f>C33*F33*(1-G33)</f>
        <v>545.30000000000007</v>
      </c>
      <c r="I33" s="26" t="s">
        <v>18</v>
      </c>
      <c r="J33" s="26" t="s">
        <v>57</v>
      </c>
      <c r="K33" s="32" t="s">
        <v>92</v>
      </c>
    </row>
    <row r="34" spans="1:11" x14ac:dyDescent="0.3">
      <c r="A34" s="17" t="s">
        <v>107</v>
      </c>
      <c r="B34" s="18" t="s">
        <v>22</v>
      </c>
      <c r="C34" s="19">
        <v>15</v>
      </c>
      <c r="D34" s="20">
        <v>46312</v>
      </c>
      <c r="E34" s="21">
        <v>0.67708333333333337</v>
      </c>
      <c r="F34" s="22">
        <v>120</v>
      </c>
      <c r="G34" s="23">
        <v>0</v>
      </c>
      <c r="H34" s="22">
        <f>C34*F34*(1-G34)</f>
        <v>1800</v>
      </c>
      <c r="I34" s="18" t="s">
        <v>27</v>
      </c>
      <c r="J34" s="18" t="s">
        <v>59</v>
      </c>
      <c r="K34" s="24" t="s">
        <v>41</v>
      </c>
    </row>
    <row r="35" spans="1:11" x14ac:dyDescent="0.3">
      <c r="A35" s="25" t="s">
        <v>108</v>
      </c>
      <c r="B35" s="26" t="s">
        <v>26</v>
      </c>
      <c r="C35" s="27">
        <v>9</v>
      </c>
      <c r="D35" s="28">
        <v>46313</v>
      </c>
      <c r="E35" s="29">
        <v>0.54166666666666663</v>
      </c>
      <c r="F35" s="30">
        <v>150</v>
      </c>
      <c r="G35" s="31">
        <v>0.15</v>
      </c>
      <c r="H35" s="30">
        <f>C35*F35*(1-G35)</f>
        <v>1147.5</v>
      </c>
      <c r="I35" s="26" t="s">
        <v>44</v>
      </c>
      <c r="J35" s="26" t="s">
        <v>61</v>
      </c>
      <c r="K35" s="32" t="s">
        <v>33</v>
      </c>
    </row>
    <row r="36" spans="1:11" x14ac:dyDescent="0.3">
      <c r="A36" s="17" t="s">
        <v>109</v>
      </c>
      <c r="B36" s="18" t="s">
        <v>31</v>
      </c>
      <c r="C36" s="19">
        <v>14</v>
      </c>
      <c r="D36" s="20">
        <v>46314</v>
      </c>
      <c r="E36" s="21">
        <v>0.53125</v>
      </c>
      <c r="F36" s="22">
        <v>180.5</v>
      </c>
      <c r="G36" s="23">
        <v>0</v>
      </c>
      <c r="H36" s="22">
        <f>C36*F36*(1-G36)</f>
        <v>2527</v>
      </c>
      <c r="I36" s="18" t="s">
        <v>13</v>
      </c>
      <c r="J36" s="18" t="s">
        <v>63</v>
      </c>
      <c r="K36" s="24" t="s">
        <v>104</v>
      </c>
    </row>
    <row r="37" spans="1:11" x14ac:dyDescent="0.3">
      <c r="A37" s="25" t="s">
        <v>110</v>
      </c>
      <c r="B37" s="26" t="s">
        <v>35</v>
      </c>
      <c r="C37" s="27">
        <v>15</v>
      </c>
      <c r="D37" s="28">
        <v>46315</v>
      </c>
      <c r="E37" s="29">
        <v>0.55208333333333337</v>
      </c>
      <c r="F37" s="30">
        <v>210</v>
      </c>
      <c r="G37" s="31">
        <v>0.2</v>
      </c>
      <c r="H37" s="30">
        <f>C37*F37*(1-G37)</f>
        <v>2520</v>
      </c>
      <c r="I37" s="26" t="s">
        <v>18</v>
      </c>
      <c r="J37" s="26" t="s">
        <v>65</v>
      </c>
      <c r="K37" s="32" t="s">
        <v>89</v>
      </c>
    </row>
    <row r="38" spans="1:11" x14ac:dyDescent="0.3">
      <c r="A38" s="17" t="s">
        <v>111</v>
      </c>
      <c r="B38" s="18" t="s">
        <v>39</v>
      </c>
      <c r="C38" s="19">
        <v>9</v>
      </c>
      <c r="D38" s="20">
        <v>46316</v>
      </c>
      <c r="E38" s="21">
        <v>0.67708333333333337</v>
      </c>
      <c r="F38" s="22">
        <v>250</v>
      </c>
      <c r="G38" s="23">
        <v>0</v>
      </c>
      <c r="H38" s="22">
        <f>C38*F38*(1-G38)</f>
        <v>2250</v>
      </c>
      <c r="I38" s="18" t="s">
        <v>27</v>
      </c>
      <c r="J38" s="18" t="s">
        <v>67</v>
      </c>
      <c r="K38" s="24" t="s">
        <v>86</v>
      </c>
    </row>
    <row r="39" spans="1:11" x14ac:dyDescent="0.3">
      <c r="A39" s="25" t="s">
        <v>112</v>
      </c>
      <c r="B39" s="26" t="s">
        <v>43</v>
      </c>
      <c r="C39" s="27">
        <v>15</v>
      </c>
      <c r="D39" s="28">
        <v>46317</v>
      </c>
      <c r="E39" s="29">
        <v>0.73958333333333337</v>
      </c>
      <c r="F39" s="30">
        <v>320</v>
      </c>
      <c r="G39" s="31">
        <v>0.05</v>
      </c>
      <c r="H39" s="30">
        <f>C39*F39*(1-G39)</f>
        <v>4560</v>
      </c>
      <c r="I39" s="26" t="s">
        <v>44</v>
      </c>
      <c r="J39" s="26" t="s">
        <v>69</v>
      </c>
      <c r="K39" s="32" t="s">
        <v>95</v>
      </c>
    </row>
    <row r="40" spans="1:11" x14ac:dyDescent="0.3">
      <c r="A40" s="17" t="s">
        <v>113</v>
      </c>
      <c r="B40" s="18" t="s">
        <v>48</v>
      </c>
      <c r="C40" s="19">
        <v>6</v>
      </c>
      <c r="D40" s="20">
        <v>46318</v>
      </c>
      <c r="E40" s="21">
        <v>0.75</v>
      </c>
      <c r="F40" s="22">
        <v>380</v>
      </c>
      <c r="G40" s="23">
        <v>0</v>
      </c>
      <c r="H40" s="22">
        <f>C40*F40*(1-G40)</f>
        <v>2280</v>
      </c>
      <c r="I40" s="18" t="s">
        <v>13</v>
      </c>
      <c r="J40" s="18" t="s">
        <v>71</v>
      </c>
      <c r="K40" s="24" t="s">
        <v>95</v>
      </c>
    </row>
    <row r="41" spans="1:11" x14ac:dyDescent="0.3">
      <c r="A41" s="25" t="s">
        <v>114</v>
      </c>
      <c r="B41" s="26" t="s">
        <v>52</v>
      </c>
      <c r="C41" s="27">
        <v>15</v>
      </c>
      <c r="D41" s="28">
        <v>46319</v>
      </c>
      <c r="E41" s="29">
        <v>0.76041666666666663</v>
      </c>
      <c r="F41" s="30">
        <v>450</v>
      </c>
      <c r="G41" s="31">
        <v>0.2</v>
      </c>
      <c r="H41" s="30">
        <f>C41*F41*(1-G41)</f>
        <v>5400</v>
      </c>
      <c r="I41" s="26" t="s">
        <v>18</v>
      </c>
      <c r="J41" s="26" t="s">
        <v>73</v>
      </c>
      <c r="K41" s="32" t="s">
        <v>89</v>
      </c>
    </row>
    <row r="42" spans="1:11" x14ac:dyDescent="0.3">
      <c r="A42" s="17" t="s">
        <v>115</v>
      </c>
      <c r="B42" s="18" t="s">
        <v>76</v>
      </c>
      <c r="C42" s="19">
        <v>6</v>
      </c>
      <c r="D42" s="20">
        <v>46320</v>
      </c>
      <c r="E42" s="21">
        <v>0.45833333333333331</v>
      </c>
      <c r="F42" s="22">
        <v>520</v>
      </c>
      <c r="G42" s="23">
        <v>0.08</v>
      </c>
      <c r="H42" s="22">
        <f>C42*F42*(1-G42)</f>
        <v>2870.4</v>
      </c>
      <c r="I42" s="18" t="s">
        <v>27</v>
      </c>
      <c r="J42" s="18" t="s">
        <v>14</v>
      </c>
      <c r="K42" s="24" t="s">
        <v>41</v>
      </c>
    </row>
    <row r="43" spans="1:11" x14ac:dyDescent="0.3">
      <c r="A43" s="25" t="s">
        <v>116</v>
      </c>
      <c r="B43" s="26" t="s">
        <v>79</v>
      </c>
      <c r="C43" s="27">
        <v>14</v>
      </c>
      <c r="D43" s="28">
        <v>46321</v>
      </c>
      <c r="E43" s="29">
        <v>0.54166666666666663</v>
      </c>
      <c r="F43" s="30">
        <v>600</v>
      </c>
      <c r="G43" s="31">
        <v>0.15</v>
      </c>
      <c r="H43" s="30">
        <f>C43*F43*(1-G43)</f>
        <v>7140</v>
      </c>
      <c r="I43" s="26" t="s">
        <v>44</v>
      </c>
      <c r="J43" s="26" t="s">
        <v>19</v>
      </c>
      <c r="K43" s="32" t="s">
        <v>80</v>
      </c>
    </row>
    <row r="44" spans="1:11" x14ac:dyDescent="0.3">
      <c r="A44" s="17" t="s">
        <v>117</v>
      </c>
      <c r="B44" s="18" t="s">
        <v>82</v>
      </c>
      <c r="C44" s="19">
        <v>7</v>
      </c>
      <c r="D44" s="20">
        <v>46322</v>
      </c>
      <c r="E44" s="21">
        <v>0.39583333333333331</v>
      </c>
      <c r="F44" s="22">
        <v>15</v>
      </c>
      <c r="G44" s="23">
        <v>0</v>
      </c>
      <c r="H44" s="22">
        <f>C44*F44*(1-G44)</f>
        <v>105</v>
      </c>
      <c r="I44" s="18" t="s">
        <v>13</v>
      </c>
      <c r="J44" s="18" t="s">
        <v>23</v>
      </c>
      <c r="K44" s="24" t="s">
        <v>74</v>
      </c>
    </row>
    <row r="45" spans="1:11" x14ac:dyDescent="0.3">
      <c r="A45" s="25" t="s">
        <v>118</v>
      </c>
      <c r="B45" s="26" t="s">
        <v>85</v>
      </c>
      <c r="C45" s="27">
        <v>4</v>
      </c>
      <c r="D45" s="28">
        <v>46323</v>
      </c>
      <c r="E45" s="29">
        <v>0.47916666666666669</v>
      </c>
      <c r="F45" s="30">
        <v>25</v>
      </c>
      <c r="G45" s="31">
        <v>0.1</v>
      </c>
      <c r="H45" s="30">
        <f>C45*F45*(1-G45)</f>
        <v>90</v>
      </c>
      <c r="I45" s="26" t="s">
        <v>18</v>
      </c>
      <c r="J45" s="26" t="s">
        <v>28</v>
      </c>
      <c r="K45" s="32" t="s">
        <v>15</v>
      </c>
    </row>
    <row r="46" spans="1:11" x14ac:dyDescent="0.3">
      <c r="A46" s="17" t="s">
        <v>119</v>
      </c>
      <c r="B46" s="18" t="s">
        <v>88</v>
      </c>
      <c r="C46" s="19">
        <v>11</v>
      </c>
      <c r="D46" s="20">
        <v>46324</v>
      </c>
      <c r="E46" s="21">
        <v>0.61458333333333337</v>
      </c>
      <c r="F46" s="22">
        <v>45</v>
      </c>
      <c r="G46" s="23">
        <v>0.18</v>
      </c>
      <c r="H46" s="22">
        <f>C46*F46*(1-G46)</f>
        <v>405.90000000000003</v>
      </c>
      <c r="I46" s="18" t="s">
        <v>27</v>
      </c>
      <c r="J46" s="18" t="s">
        <v>32</v>
      </c>
      <c r="K46" s="24" t="s">
        <v>50</v>
      </c>
    </row>
    <row r="47" spans="1:11" x14ac:dyDescent="0.3">
      <c r="A47" s="25" t="s">
        <v>120</v>
      </c>
      <c r="B47" s="26" t="s">
        <v>91</v>
      </c>
      <c r="C47" s="27">
        <v>15</v>
      </c>
      <c r="D47" s="28">
        <v>46325</v>
      </c>
      <c r="E47" s="29">
        <v>0.44791666666666669</v>
      </c>
      <c r="F47" s="30">
        <v>60</v>
      </c>
      <c r="G47" s="31">
        <v>0.05</v>
      </c>
      <c r="H47" s="30">
        <f>C47*F47*(1-G47)</f>
        <v>855</v>
      </c>
      <c r="I47" s="26" t="s">
        <v>44</v>
      </c>
      <c r="J47" s="26" t="s">
        <v>36</v>
      </c>
      <c r="K47" s="32" t="s">
        <v>104</v>
      </c>
    </row>
    <row r="48" spans="1:11" x14ac:dyDescent="0.3">
      <c r="A48" s="17" t="s">
        <v>121</v>
      </c>
      <c r="B48" s="18" t="s">
        <v>94</v>
      </c>
      <c r="C48" s="19">
        <v>5</v>
      </c>
      <c r="D48" s="20">
        <v>46326</v>
      </c>
      <c r="E48" s="21">
        <v>0.46875</v>
      </c>
      <c r="F48" s="22">
        <v>75</v>
      </c>
      <c r="G48" s="23">
        <v>0.12</v>
      </c>
      <c r="H48" s="22">
        <f>C48*F48*(1-G48)</f>
        <v>330</v>
      </c>
      <c r="I48" s="18" t="s">
        <v>13</v>
      </c>
      <c r="J48" s="18" t="s">
        <v>40</v>
      </c>
      <c r="K48" s="24" t="s">
        <v>46</v>
      </c>
    </row>
    <row r="49" spans="1:11" x14ac:dyDescent="0.3">
      <c r="A49" s="25" t="s">
        <v>122</v>
      </c>
      <c r="B49" s="26" t="s">
        <v>97</v>
      </c>
      <c r="C49" s="27">
        <v>12</v>
      </c>
      <c r="D49" s="28">
        <v>46327</v>
      </c>
      <c r="E49" s="29">
        <v>0.72916666666666663</v>
      </c>
      <c r="F49" s="30">
        <v>95</v>
      </c>
      <c r="G49" s="31">
        <v>0.2</v>
      </c>
      <c r="H49" s="30">
        <f>C49*F49*(1-G49)</f>
        <v>912</v>
      </c>
      <c r="I49" s="26" t="s">
        <v>18</v>
      </c>
      <c r="J49" s="26" t="s">
        <v>45</v>
      </c>
      <c r="K49" s="32" t="s">
        <v>46</v>
      </c>
    </row>
    <row r="50" spans="1:11" x14ac:dyDescent="0.3">
      <c r="A50" s="17" t="s">
        <v>123</v>
      </c>
      <c r="B50" s="18" t="s">
        <v>100</v>
      </c>
      <c r="C50" s="19">
        <v>7</v>
      </c>
      <c r="D50" s="20">
        <v>46328</v>
      </c>
      <c r="E50" s="21">
        <v>0.57291666666666663</v>
      </c>
      <c r="F50" s="22">
        <v>120</v>
      </c>
      <c r="G50" s="23">
        <v>0.08</v>
      </c>
      <c r="H50" s="22">
        <f>C50*F50*(1-G50)</f>
        <v>772.80000000000007</v>
      </c>
      <c r="I50" s="18" t="s">
        <v>27</v>
      </c>
      <c r="J50" s="18" t="s">
        <v>49</v>
      </c>
      <c r="K50" s="24" t="s">
        <v>29</v>
      </c>
    </row>
    <row r="51" spans="1:11" x14ac:dyDescent="0.3">
      <c r="A51" s="25" t="s">
        <v>124</v>
      </c>
      <c r="B51" s="26" t="s">
        <v>103</v>
      </c>
      <c r="C51" s="27">
        <v>4</v>
      </c>
      <c r="D51" s="28">
        <v>46329</v>
      </c>
      <c r="E51" s="29">
        <v>0.67708333333333337</v>
      </c>
      <c r="F51" s="30">
        <v>150</v>
      </c>
      <c r="G51" s="31">
        <v>0.15</v>
      </c>
      <c r="H51" s="30">
        <f>C51*F51*(1-G51)</f>
        <v>510</v>
      </c>
      <c r="I51" s="26" t="s">
        <v>44</v>
      </c>
      <c r="J51" s="26" t="s">
        <v>53</v>
      </c>
      <c r="K51" s="32" t="s">
        <v>95</v>
      </c>
    </row>
    <row r="52" spans="1:11" x14ac:dyDescent="0.3">
      <c r="A52" s="17" t="s">
        <v>125</v>
      </c>
      <c r="B52" s="18" t="s">
        <v>12</v>
      </c>
      <c r="C52" s="19">
        <v>8</v>
      </c>
      <c r="D52" s="20">
        <v>46330</v>
      </c>
      <c r="E52" s="21">
        <v>0.33333333333333331</v>
      </c>
      <c r="F52" s="22">
        <v>180.5</v>
      </c>
      <c r="G52" s="23">
        <v>0</v>
      </c>
      <c r="H52" s="22">
        <f>C52*F52*(1-G52)</f>
        <v>1444</v>
      </c>
      <c r="I52" s="18" t="s">
        <v>13</v>
      </c>
      <c r="J52" s="18" t="s">
        <v>55</v>
      </c>
      <c r="K52" s="24" t="s">
        <v>95</v>
      </c>
    </row>
    <row r="53" spans="1:11" x14ac:dyDescent="0.3">
      <c r="A53" s="25" t="s">
        <v>126</v>
      </c>
      <c r="B53" s="26" t="s">
        <v>17</v>
      </c>
      <c r="C53" s="27">
        <v>14</v>
      </c>
      <c r="D53" s="28">
        <v>46331</v>
      </c>
      <c r="E53" s="29">
        <v>0.41666666666666669</v>
      </c>
      <c r="F53" s="30">
        <v>210</v>
      </c>
      <c r="G53" s="31">
        <v>0.1</v>
      </c>
      <c r="H53" s="30">
        <f>C53*F53*(1-G53)</f>
        <v>2646</v>
      </c>
      <c r="I53" s="26" t="s">
        <v>18</v>
      </c>
      <c r="J53" s="26" t="s">
        <v>57</v>
      </c>
      <c r="K53" s="32" t="s">
        <v>29</v>
      </c>
    </row>
    <row r="54" spans="1:11" x14ac:dyDescent="0.3">
      <c r="A54" s="17" t="s">
        <v>127</v>
      </c>
      <c r="B54" s="18" t="s">
        <v>22</v>
      </c>
      <c r="C54" s="19">
        <v>11</v>
      </c>
      <c r="D54" s="20">
        <v>46332</v>
      </c>
      <c r="E54" s="21">
        <v>0.76041666666666663</v>
      </c>
      <c r="F54" s="22">
        <v>250</v>
      </c>
      <c r="G54" s="23">
        <v>0.18</v>
      </c>
      <c r="H54" s="22">
        <f>C54*F54*(1-G54)</f>
        <v>2255</v>
      </c>
      <c r="I54" s="18" t="s">
        <v>27</v>
      </c>
      <c r="J54" s="18" t="s">
        <v>59</v>
      </c>
      <c r="K54" s="24" t="s">
        <v>83</v>
      </c>
    </row>
    <row r="55" spans="1:11" x14ac:dyDescent="0.3">
      <c r="A55" s="25" t="s">
        <v>128</v>
      </c>
      <c r="B55" s="26" t="s">
        <v>26</v>
      </c>
      <c r="C55" s="27">
        <v>7</v>
      </c>
      <c r="D55" s="28">
        <v>46333</v>
      </c>
      <c r="E55" s="29">
        <v>0.58333333333333337</v>
      </c>
      <c r="F55" s="30">
        <v>320</v>
      </c>
      <c r="G55" s="31">
        <v>0.05</v>
      </c>
      <c r="H55" s="30">
        <f>C55*F55*(1-G55)</f>
        <v>2128</v>
      </c>
      <c r="I55" s="26" t="s">
        <v>44</v>
      </c>
      <c r="J55" s="26" t="s">
        <v>61</v>
      </c>
      <c r="K55" s="32" t="s">
        <v>80</v>
      </c>
    </row>
    <row r="56" spans="1:11" x14ac:dyDescent="0.3">
      <c r="A56" s="17" t="s">
        <v>129</v>
      </c>
      <c r="B56" s="18" t="s">
        <v>31</v>
      </c>
      <c r="C56" s="19">
        <v>7</v>
      </c>
      <c r="D56" s="20">
        <v>46334</v>
      </c>
      <c r="E56" s="21">
        <v>0.69791666666666663</v>
      </c>
      <c r="F56" s="22">
        <v>380</v>
      </c>
      <c r="G56" s="23">
        <v>0.12</v>
      </c>
      <c r="H56" s="22">
        <f>C56*F56*(1-G56)</f>
        <v>2340.8000000000002</v>
      </c>
      <c r="I56" s="18" t="s">
        <v>13</v>
      </c>
      <c r="J56" s="18" t="s">
        <v>63</v>
      </c>
      <c r="K56" s="24" t="s">
        <v>80</v>
      </c>
    </row>
    <row r="57" spans="1:11" x14ac:dyDescent="0.3">
      <c r="A57" s="25" t="s">
        <v>130</v>
      </c>
      <c r="B57" s="26" t="s">
        <v>35</v>
      </c>
      <c r="C57" s="27">
        <v>5</v>
      </c>
      <c r="D57" s="28">
        <v>46335</v>
      </c>
      <c r="E57" s="29">
        <v>0.75</v>
      </c>
      <c r="F57" s="30">
        <v>450</v>
      </c>
      <c r="G57" s="31">
        <v>0.2</v>
      </c>
      <c r="H57" s="30">
        <f>C57*F57*(1-G57)</f>
        <v>1800</v>
      </c>
      <c r="I57" s="26" t="s">
        <v>18</v>
      </c>
      <c r="J57" s="26" t="s">
        <v>65</v>
      </c>
      <c r="K57" s="32" t="s">
        <v>98</v>
      </c>
    </row>
    <row r="58" spans="1:11" x14ac:dyDescent="0.3">
      <c r="A58" s="17" t="s">
        <v>131</v>
      </c>
      <c r="B58" s="18" t="s">
        <v>39</v>
      </c>
      <c r="C58" s="19">
        <v>12</v>
      </c>
      <c r="D58" s="20">
        <v>46336</v>
      </c>
      <c r="E58" s="21">
        <v>0.75</v>
      </c>
      <c r="F58" s="22">
        <v>520</v>
      </c>
      <c r="G58" s="23">
        <v>0.08</v>
      </c>
      <c r="H58" s="22">
        <f>C58*F58*(1-G58)</f>
        <v>5740.8</v>
      </c>
      <c r="I58" s="18" t="s">
        <v>27</v>
      </c>
      <c r="J58" s="18" t="s">
        <v>67</v>
      </c>
      <c r="K58" s="24" t="s">
        <v>74</v>
      </c>
    </row>
    <row r="59" spans="1:11" x14ac:dyDescent="0.3">
      <c r="A59" s="25" t="s">
        <v>132</v>
      </c>
      <c r="B59" s="26" t="s">
        <v>43</v>
      </c>
      <c r="C59" s="27">
        <v>15</v>
      </c>
      <c r="D59" s="28">
        <v>46337</v>
      </c>
      <c r="E59" s="29">
        <v>0.77083333333333337</v>
      </c>
      <c r="F59" s="30">
        <v>600</v>
      </c>
      <c r="G59" s="31">
        <v>0.15</v>
      </c>
      <c r="H59" s="30">
        <f>C59*F59*(1-G59)</f>
        <v>7650</v>
      </c>
      <c r="I59" s="26" t="s">
        <v>44</v>
      </c>
      <c r="J59" s="26" t="s">
        <v>69</v>
      </c>
      <c r="K59" s="32" t="s">
        <v>15</v>
      </c>
    </row>
    <row r="60" spans="1:11" x14ac:dyDescent="0.3">
      <c r="A60" s="17" t="s">
        <v>133</v>
      </c>
      <c r="B60" s="18" t="s">
        <v>48</v>
      </c>
      <c r="C60" s="19">
        <v>6</v>
      </c>
      <c r="D60" s="20">
        <v>46338</v>
      </c>
      <c r="E60" s="21">
        <v>0.5</v>
      </c>
      <c r="F60" s="22">
        <v>15</v>
      </c>
      <c r="G60" s="23">
        <v>0</v>
      </c>
      <c r="H60" s="22">
        <f>C60*F60*(1-G60)</f>
        <v>90</v>
      </c>
      <c r="I60" s="18" t="s">
        <v>13</v>
      </c>
      <c r="J60" s="18" t="s">
        <v>71</v>
      </c>
      <c r="K60" s="24" t="s">
        <v>104</v>
      </c>
    </row>
    <row r="61" spans="1:11" x14ac:dyDescent="0.3">
      <c r="A61" s="25" t="s">
        <v>134</v>
      </c>
      <c r="B61" s="26" t="s">
        <v>52</v>
      </c>
      <c r="C61" s="27">
        <v>7</v>
      </c>
      <c r="D61" s="28">
        <v>46339</v>
      </c>
      <c r="E61" s="29">
        <v>0.63541666666666663</v>
      </c>
      <c r="F61" s="30">
        <v>25</v>
      </c>
      <c r="G61" s="31">
        <v>0.1</v>
      </c>
      <c r="H61" s="30">
        <f>C61*F61*(1-G61)</f>
        <v>157.5</v>
      </c>
      <c r="I61" s="26" t="s">
        <v>18</v>
      </c>
      <c r="J61" s="26" t="s">
        <v>73</v>
      </c>
      <c r="K61" s="32" t="s">
        <v>86</v>
      </c>
    </row>
    <row r="62" spans="1:11" x14ac:dyDescent="0.3">
      <c r="A62" s="17" t="s">
        <v>135</v>
      </c>
      <c r="B62" s="18" t="s">
        <v>76</v>
      </c>
      <c r="C62" s="19">
        <v>1</v>
      </c>
      <c r="D62" s="20">
        <v>46340</v>
      </c>
      <c r="E62" s="21">
        <v>0.6875</v>
      </c>
      <c r="F62" s="22">
        <v>45</v>
      </c>
      <c r="G62" s="23">
        <v>0.18</v>
      </c>
      <c r="H62" s="22">
        <f>C62*F62*(1-G62)</f>
        <v>36.900000000000006</v>
      </c>
      <c r="I62" s="18" t="s">
        <v>27</v>
      </c>
      <c r="J62" s="18" t="s">
        <v>14</v>
      </c>
      <c r="K62" s="24" t="s">
        <v>77</v>
      </c>
    </row>
    <row r="63" spans="1:11" x14ac:dyDescent="0.3">
      <c r="A63" s="25" t="s">
        <v>136</v>
      </c>
      <c r="B63" s="26" t="s">
        <v>79</v>
      </c>
      <c r="C63" s="27">
        <v>13</v>
      </c>
      <c r="D63" s="28">
        <v>46341</v>
      </c>
      <c r="E63" s="29">
        <v>0.67708333333333337</v>
      </c>
      <c r="F63" s="30">
        <v>60</v>
      </c>
      <c r="G63" s="31">
        <v>0.05</v>
      </c>
      <c r="H63" s="30">
        <f>C63*F63*(1-G63)</f>
        <v>741</v>
      </c>
      <c r="I63" s="26" t="s">
        <v>44</v>
      </c>
      <c r="J63" s="26" t="s">
        <v>19</v>
      </c>
      <c r="K63" s="32" t="s">
        <v>20</v>
      </c>
    </row>
    <row r="64" spans="1:11" x14ac:dyDescent="0.3">
      <c r="A64" s="17" t="s">
        <v>137</v>
      </c>
      <c r="B64" s="18" t="s">
        <v>82</v>
      </c>
      <c r="C64" s="19">
        <v>15</v>
      </c>
      <c r="D64" s="20">
        <v>46342</v>
      </c>
      <c r="E64" s="21">
        <v>0.75</v>
      </c>
      <c r="F64" s="22">
        <v>75</v>
      </c>
      <c r="G64" s="23">
        <v>0.12</v>
      </c>
      <c r="H64" s="22">
        <f>C64*F64*(1-G64)</f>
        <v>990</v>
      </c>
      <c r="I64" s="18" t="s">
        <v>13</v>
      </c>
      <c r="J64" s="18" t="s">
        <v>23</v>
      </c>
      <c r="K64" s="24" t="s">
        <v>89</v>
      </c>
    </row>
    <row r="65" spans="1:11" x14ac:dyDescent="0.3">
      <c r="A65" s="25" t="s">
        <v>138</v>
      </c>
      <c r="B65" s="26" t="s">
        <v>85</v>
      </c>
      <c r="C65" s="27">
        <v>5</v>
      </c>
      <c r="D65" s="28">
        <v>46343</v>
      </c>
      <c r="E65" s="29">
        <v>0.42708333333333331</v>
      </c>
      <c r="F65" s="30">
        <v>95</v>
      </c>
      <c r="G65" s="31">
        <v>0.2</v>
      </c>
      <c r="H65" s="30">
        <f>C65*F65*(1-G65)</f>
        <v>380</v>
      </c>
      <c r="I65" s="26" t="s">
        <v>18</v>
      </c>
      <c r="J65" s="26" t="s">
        <v>28</v>
      </c>
      <c r="K65" s="32" t="s">
        <v>50</v>
      </c>
    </row>
    <row r="66" spans="1:11" x14ac:dyDescent="0.3">
      <c r="A66" s="17" t="s">
        <v>139</v>
      </c>
      <c r="B66" s="18" t="s">
        <v>88</v>
      </c>
      <c r="C66" s="19">
        <v>6</v>
      </c>
      <c r="D66" s="20">
        <v>46344</v>
      </c>
      <c r="E66" s="21">
        <v>0.67708333333333337</v>
      </c>
      <c r="F66" s="22">
        <v>120</v>
      </c>
      <c r="G66" s="23">
        <v>0.08</v>
      </c>
      <c r="H66" s="22">
        <f>C66*F66*(1-G66)</f>
        <v>662.4</v>
      </c>
      <c r="I66" s="18" t="s">
        <v>27</v>
      </c>
      <c r="J66" s="18" t="s">
        <v>32</v>
      </c>
      <c r="K66" s="24" t="s">
        <v>74</v>
      </c>
    </row>
    <row r="67" spans="1:11" x14ac:dyDescent="0.3">
      <c r="A67" s="25" t="s">
        <v>140</v>
      </c>
      <c r="B67" s="26" t="s">
        <v>91</v>
      </c>
      <c r="C67" s="27">
        <v>13</v>
      </c>
      <c r="D67" s="28">
        <v>46345</v>
      </c>
      <c r="E67" s="29">
        <v>0.70833333333333337</v>
      </c>
      <c r="F67" s="30">
        <v>150</v>
      </c>
      <c r="G67" s="31">
        <v>0.15</v>
      </c>
      <c r="H67" s="30">
        <f>C67*F67*(1-G67)</f>
        <v>1657.5</v>
      </c>
      <c r="I67" s="26" t="s">
        <v>44</v>
      </c>
      <c r="J67" s="26" t="s">
        <v>36</v>
      </c>
      <c r="K67" s="32" t="s">
        <v>98</v>
      </c>
    </row>
    <row r="68" spans="1:11" x14ac:dyDescent="0.3">
      <c r="A68" s="17" t="s">
        <v>141</v>
      </c>
      <c r="B68" s="18" t="s">
        <v>94</v>
      </c>
      <c r="C68" s="19">
        <v>6</v>
      </c>
      <c r="D68" s="20">
        <v>46346</v>
      </c>
      <c r="E68" s="21">
        <v>0.36458333333333331</v>
      </c>
      <c r="F68" s="22">
        <v>180.5</v>
      </c>
      <c r="G68" s="23">
        <v>0</v>
      </c>
      <c r="H68" s="22">
        <f>C68*F68*(1-G68)</f>
        <v>1083</v>
      </c>
      <c r="I68" s="18" t="s">
        <v>13</v>
      </c>
      <c r="J68" s="18" t="s">
        <v>40</v>
      </c>
      <c r="K68" s="24" t="s">
        <v>95</v>
      </c>
    </row>
    <row r="69" spans="1:11" x14ac:dyDescent="0.3">
      <c r="A69" s="25" t="s">
        <v>142</v>
      </c>
      <c r="B69" s="26" t="s">
        <v>97</v>
      </c>
      <c r="C69" s="27">
        <v>2</v>
      </c>
      <c r="D69" s="28">
        <v>46347</v>
      </c>
      <c r="E69" s="29">
        <v>0.52083333333333337</v>
      </c>
      <c r="F69" s="30">
        <v>210</v>
      </c>
      <c r="G69" s="31">
        <v>0.1</v>
      </c>
      <c r="H69" s="30">
        <f>C69*F69*(1-G69)</f>
        <v>378</v>
      </c>
      <c r="I69" s="26" t="s">
        <v>18</v>
      </c>
      <c r="J69" s="26" t="s">
        <v>45</v>
      </c>
      <c r="K69" s="32" t="s">
        <v>33</v>
      </c>
    </row>
    <row r="70" spans="1:11" x14ac:dyDescent="0.3">
      <c r="A70" s="17" t="s">
        <v>143</v>
      </c>
      <c r="B70" s="18" t="s">
        <v>100</v>
      </c>
      <c r="C70" s="19">
        <v>4</v>
      </c>
      <c r="D70" s="20">
        <v>46348</v>
      </c>
      <c r="E70" s="21">
        <v>0.45833333333333331</v>
      </c>
      <c r="F70" s="22">
        <v>250</v>
      </c>
      <c r="G70" s="23">
        <v>0.18</v>
      </c>
      <c r="H70" s="22">
        <f>C70*F70*(1-G70)</f>
        <v>820.00000000000011</v>
      </c>
      <c r="I70" s="18" t="s">
        <v>27</v>
      </c>
      <c r="J70" s="18" t="s">
        <v>49</v>
      </c>
      <c r="K70" s="24" t="s">
        <v>77</v>
      </c>
    </row>
    <row r="71" spans="1:11" x14ac:dyDescent="0.3">
      <c r="A71" s="25" t="s">
        <v>144</v>
      </c>
      <c r="B71" s="26" t="s">
        <v>103</v>
      </c>
      <c r="C71" s="27">
        <v>15</v>
      </c>
      <c r="D71" s="28">
        <v>46349</v>
      </c>
      <c r="E71" s="29">
        <v>0.375</v>
      </c>
      <c r="F71" s="30">
        <v>320</v>
      </c>
      <c r="G71" s="31">
        <v>0.05</v>
      </c>
      <c r="H71" s="30">
        <f>C71*F71*(1-G71)</f>
        <v>4560</v>
      </c>
      <c r="I71" s="26" t="s">
        <v>44</v>
      </c>
      <c r="J71" s="26" t="s">
        <v>53</v>
      </c>
      <c r="K71" s="32" t="s">
        <v>20</v>
      </c>
    </row>
    <row r="72" spans="1:11" x14ac:dyDescent="0.3">
      <c r="A72" s="17" t="s">
        <v>145</v>
      </c>
      <c r="B72" s="18" t="s">
        <v>12</v>
      </c>
      <c r="C72" s="19">
        <v>12</v>
      </c>
      <c r="D72" s="20">
        <v>46350</v>
      </c>
      <c r="E72" s="21">
        <v>0.40625</v>
      </c>
      <c r="F72" s="22">
        <v>380</v>
      </c>
      <c r="G72" s="23">
        <v>0.12</v>
      </c>
      <c r="H72" s="22">
        <f>C72*F72*(1-G72)</f>
        <v>4012.8</v>
      </c>
      <c r="I72" s="18" t="s">
        <v>13</v>
      </c>
      <c r="J72" s="18" t="s">
        <v>55</v>
      </c>
      <c r="K72" s="24" t="s">
        <v>77</v>
      </c>
    </row>
    <row r="73" spans="1:11" x14ac:dyDescent="0.3">
      <c r="A73" s="25" t="s">
        <v>146</v>
      </c>
      <c r="B73" s="26" t="s">
        <v>17</v>
      </c>
      <c r="C73" s="27">
        <v>13</v>
      </c>
      <c r="D73" s="28">
        <v>46351</v>
      </c>
      <c r="E73" s="29">
        <v>0.42708333333333331</v>
      </c>
      <c r="F73" s="30">
        <v>450</v>
      </c>
      <c r="G73" s="31">
        <v>0.2</v>
      </c>
      <c r="H73" s="30">
        <f>C73*F73*(1-G73)</f>
        <v>4680</v>
      </c>
      <c r="I73" s="26" t="s">
        <v>18</v>
      </c>
      <c r="J73" s="26" t="s">
        <v>57</v>
      </c>
      <c r="K73" s="32" t="s">
        <v>83</v>
      </c>
    </row>
    <row r="74" spans="1:11" x14ac:dyDescent="0.3">
      <c r="A74" s="17" t="s">
        <v>147</v>
      </c>
      <c r="B74" s="18" t="s">
        <v>22</v>
      </c>
      <c r="C74" s="19">
        <v>11</v>
      </c>
      <c r="D74" s="20">
        <v>46352</v>
      </c>
      <c r="E74" s="21">
        <v>0.69791666666666663</v>
      </c>
      <c r="F74" s="22">
        <v>520</v>
      </c>
      <c r="G74" s="23">
        <v>0.08</v>
      </c>
      <c r="H74" s="22">
        <f>C74*F74*(1-G74)</f>
        <v>5262.4000000000005</v>
      </c>
      <c r="I74" s="18" t="s">
        <v>27</v>
      </c>
      <c r="J74" s="18" t="s">
        <v>59</v>
      </c>
      <c r="K74" s="24" t="s">
        <v>33</v>
      </c>
    </row>
    <row r="75" spans="1:11" x14ac:dyDescent="0.3">
      <c r="A75" s="25" t="s">
        <v>148</v>
      </c>
      <c r="B75" s="26" t="s">
        <v>26</v>
      </c>
      <c r="C75" s="27">
        <v>3</v>
      </c>
      <c r="D75" s="28">
        <v>46353</v>
      </c>
      <c r="E75" s="29">
        <v>0.6875</v>
      </c>
      <c r="F75" s="30">
        <v>600</v>
      </c>
      <c r="G75" s="31">
        <v>0.15</v>
      </c>
      <c r="H75" s="30">
        <f>C75*F75*(1-G75)</f>
        <v>1530</v>
      </c>
      <c r="I75" s="26" t="s">
        <v>44</v>
      </c>
      <c r="J75" s="26" t="s">
        <v>61</v>
      </c>
      <c r="K75" s="32" t="s">
        <v>29</v>
      </c>
    </row>
    <row r="76" spans="1:11" x14ac:dyDescent="0.3">
      <c r="A76" s="17" t="s">
        <v>149</v>
      </c>
      <c r="B76" s="18" t="s">
        <v>31</v>
      </c>
      <c r="C76" s="19">
        <v>14</v>
      </c>
      <c r="D76" s="20">
        <v>46354</v>
      </c>
      <c r="E76" s="21">
        <v>0.48958333333333331</v>
      </c>
      <c r="F76" s="22">
        <v>15</v>
      </c>
      <c r="G76" s="23">
        <v>0</v>
      </c>
      <c r="H76" s="22">
        <f>C76*F76*(1-G76)</f>
        <v>210</v>
      </c>
      <c r="I76" s="18" t="s">
        <v>13</v>
      </c>
      <c r="J76" s="18" t="s">
        <v>63</v>
      </c>
      <c r="K76" s="24" t="s">
        <v>20</v>
      </c>
    </row>
    <row r="77" spans="1:11" x14ac:dyDescent="0.3">
      <c r="A77" s="25" t="s">
        <v>150</v>
      </c>
      <c r="B77" s="26" t="s">
        <v>35</v>
      </c>
      <c r="C77" s="27">
        <v>15</v>
      </c>
      <c r="D77" s="28">
        <v>46355</v>
      </c>
      <c r="E77" s="29">
        <v>0.51041666666666663</v>
      </c>
      <c r="F77" s="30">
        <v>25</v>
      </c>
      <c r="G77" s="31">
        <v>0.1</v>
      </c>
      <c r="H77" s="30">
        <f>C77*F77*(1-G77)</f>
        <v>337.5</v>
      </c>
      <c r="I77" s="26" t="s">
        <v>18</v>
      </c>
      <c r="J77" s="26" t="s">
        <v>65</v>
      </c>
      <c r="K77" s="32" t="s">
        <v>29</v>
      </c>
    </row>
    <row r="78" spans="1:11" x14ac:dyDescent="0.3">
      <c r="A78" s="17" t="s">
        <v>151</v>
      </c>
      <c r="B78" s="18" t="s">
        <v>39</v>
      </c>
      <c r="C78" s="19">
        <v>7</v>
      </c>
      <c r="D78" s="20">
        <v>46356</v>
      </c>
      <c r="E78" s="21">
        <v>0.64583333333333337</v>
      </c>
      <c r="F78" s="22">
        <v>45</v>
      </c>
      <c r="G78" s="23">
        <v>0.18</v>
      </c>
      <c r="H78" s="22">
        <f>C78*F78*(1-G78)</f>
        <v>258.3</v>
      </c>
      <c r="I78" s="18" t="s">
        <v>27</v>
      </c>
      <c r="J78" s="18" t="s">
        <v>67</v>
      </c>
      <c r="K78" s="24" t="s">
        <v>98</v>
      </c>
    </row>
    <row r="79" spans="1:11" x14ac:dyDescent="0.3">
      <c r="A79" s="25" t="s">
        <v>152</v>
      </c>
      <c r="B79" s="26" t="s">
        <v>43</v>
      </c>
      <c r="C79" s="27">
        <v>15</v>
      </c>
      <c r="D79" s="28">
        <v>46357</v>
      </c>
      <c r="E79" s="29">
        <v>0.40625</v>
      </c>
      <c r="F79" s="30">
        <v>60</v>
      </c>
      <c r="G79" s="31">
        <v>0.05</v>
      </c>
      <c r="H79" s="30">
        <f>C79*F79*(1-G79)</f>
        <v>855</v>
      </c>
      <c r="I79" s="26" t="s">
        <v>44</v>
      </c>
      <c r="J79" s="26" t="s">
        <v>69</v>
      </c>
      <c r="K79" s="32" t="s">
        <v>33</v>
      </c>
    </row>
    <row r="80" spans="1:11" x14ac:dyDescent="0.3">
      <c r="A80" s="17" t="s">
        <v>153</v>
      </c>
      <c r="B80" s="18" t="s">
        <v>48</v>
      </c>
      <c r="C80" s="19">
        <v>4</v>
      </c>
      <c r="D80" s="20">
        <v>46358</v>
      </c>
      <c r="E80" s="21">
        <v>0.38541666666666669</v>
      </c>
      <c r="F80" s="22">
        <v>75</v>
      </c>
      <c r="G80" s="23">
        <v>0.12</v>
      </c>
      <c r="H80" s="22">
        <f>C80*F80*(1-G80)</f>
        <v>264</v>
      </c>
      <c r="I80" s="18" t="s">
        <v>13</v>
      </c>
      <c r="J80" s="18" t="s">
        <v>71</v>
      </c>
      <c r="K80" s="24" t="s">
        <v>89</v>
      </c>
    </row>
    <row r="81" spans="1:11" x14ac:dyDescent="0.3">
      <c r="A81" s="25" t="s">
        <v>154</v>
      </c>
      <c r="B81" s="26" t="s">
        <v>52</v>
      </c>
      <c r="C81" s="27">
        <v>6</v>
      </c>
      <c r="D81" s="28">
        <v>46359</v>
      </c>
      <c r="E81" s="29">
        <v>0.70833333333333337</v>
      </c>
      <c r="F81" s="30">
        <v>95</v>
      </c>
      <c r="G81" s="31">
        <v>0.2</v>
      </c>
      <c r="H81" s="30">
        <f>C81*F81*(1-G81)</f>
        <v>456</v>
      </c>
      <c r="I81" s="26" t="s">
        <v>18</v>
      </c>
      <c r="J81" s="26" t="s">
        <v>73</v>
      </c>
      <c r="K81" s="32" t="s">
        <v>46</v>
      </c>
    </row>
    <row r="82" spans="1:11" x14ac:dyDescent="0.3">
      <c r="A82" s="17" t="s">
        <v>155</v>
      </c>
      <c r="B82" s="18" t="s">
        <v>76</v>
      </c>
      <c r="C82" s="19">
        <v>9</v>
      </c>
      <c r="D82" s="20">
        <v>46360</v>
      </c>
      <c r="E82" s="21">
        <v>0.71875</v>
      </c>
      <c r="F82" s="22">
        <v>120</v>
      </c>
      <c r="G82" s="23">
        <v>0.08</v>
      </c>
      <c r="H82" s="22">
        <f>C82*F82*(1-G82)</f>
        <v>993.6</v>
      </c>
      <c r="I82" s="18" t="s">
        <v>27</v>
      </c>
      <c r="J82" s="18" t="s">
        <v>14</v>
      </c>
      <c r="K82" s="24" t="s">
        <v>46</v>
      </c>
    </row>
    <row r="83" spans="1:11" x14ac:dyDescent="0.3">
      <c r="A83" s="25" t="s">
        <v>156</v>
      </c>
      <c r="B83" s="26" t="s">
        <v>79</v>
      </c>
      <c r="C83" s="27">
        <v>4</v>
      </c>
      <c r="D83" s="28">
        <v>46361</v>
      </c>
      <c r="E83" s="29">
        <v>0.375</v>
      </c>
      <c r="F83" s="30">
        <v>150</v>
      </c>
      <c r="G83" s="31">
        <v>0.15</v>
      </c>
      <c r="H83" s="30">
        <f>C83*F83*(1-G83)</f>
        <v>510</v>
      </c>
      <c r="I83" s="26" t="s">
        <v>44</v>
      </c>
      <c r="J83" s="26" t="s">
        <v>19</v>
      </c>
      <c r="K83" s="32" t="s">
        <v>95</v>
      </c>
    </row>
    <row r="84" spans="1:11" x14ac:dyDescent="0.3">
      <c r="A84" s="17" t="s">
        <v>157</v>
      </c>
      <c r="B84" s="18" t="s">
        <v>82</v>
      </c>
      <c r="C84" s="19">
        <v>12</v>
      </c>
      <c r="D84" s="20">
        <v>46362</v>
      </c>
      <c r="E84" s="21">
        <v>0.45833333333333331</v>
      </c>
      <c r="F84" s="22">
        <v>180.5</v>
      </c>
      <c r="G84" s="23">
        <v>0</v>
      </c>
      <c r="H84" s="22">
        <f>C84*F84*(1-G84)</f>
        <v>2166</v>
      </c>
      <c r="I84" s="18" t="s">
        <v>13</v>
      </c>
      <c r="J84" s="18" t="s">
        <v>23</v>
      </c>
      <c r="K84" s="24" t="s">
        <v>50</v>
      </c>
    </row>
    <row r="85" spans="1:11" x14ac:dyDescent="0.3">
      <c r="A85" s="25" t="s">
        <v>158</v>
      </c>
      <c r="B85" s="26" t="s">
        <v>85</v>
      </c>
      <c r="C85" s="27">
        <v>2</v>
      </c>
      <c r="D85" s="28">
        <v>46363</v>
      </c>
      <c r="E85" s="29">
        <v>0.54166666666666663</v>
      </c>
      <c r="F85" s="30">
        <v>210</v>
      </c>
      <c r="G85" s="31">
        <v>0.1</v>
      </c>
      <c r="H85" s="30">
        <f>C85*F85*(1-G85)</f>
        <v>378</v>
      </c>
      <c r="I85" s="26" t="s">
        <v>18</v>
      </c>
      <c r="J85" s="26" t="s">
        <v>28</v>
      </c>
      <c r="K85" s="32" t="s">
        <v>80</v>
      </c>
    </row>
    <row r="86" spans="1:11" x14ac:dyDescent="0.3">
      <c r="A86" s="17" t="s">
        <v>159</v>
      </c>
      <c r="B86" s="18" t="s">
        <v>88</v>
      </c>
      <c r="C86" s="19">
        <v>2</v>
      </c>
      <c r="D86" s="20">
        <v>46364</v>
      </c>
      <c r="E86" s="21">
        <v>0.51041666666666663</v>
      </c>
      <c r="F86" s="22">
        <v>250</v>
      </c>
      <c r="G86" s="23">
        <v>0.18</v>
      </c>
      <c r="H86" s="22">
        <f>C86*F86*(1-G86)</f>
        <v>410.00000000000006</v>
      </c>
      <c r="I86" s="18" t="s">
        <v>27</v>
      </c>
      <c r="J86" s="18" t="s">
        <v>32</v>
      </c>
      <c r="K86" s="24" t="s">
        <v>33</v>
      </c>
    </row>
    <row r="87" spans="1:11" x14ac:dyDescent="0.3">
      <c r="A87" s="25" t="s">
        <v>160</v>
      </c>
      <c r="B87" s="26" t="s">
        <v>91</v>
      </c>
      <c r="C87" s="27">
        <v>11</v>
      </c>
      <c r="D87" s="28">
        <v>46365</v>
      </c>
      <c r="E87" s="29">
        <v>0.48958333333333331</v>
      </c>
      <c r="F87" s="30">
        <v>320</v>
      </c>
      <c r="G87" s="31">
        <v>0.05</v>
      </c>
      <c r="H87" s="30">
        <f>C87*F87*(1-G87)</f>
        <v>3344</v>
      </c>
      <c r="I87" s="26" t="s">
        <v>44</v>
      </c>
      <c r="J87" s="26" t="s">
        <v>36</v>
      </c>
      <c r="K87" s="32" t="s">
        <v>29</v>
      </c>
    </row>
    <row r="88" spans="1:11" x14ac:dyDescent="0.3">
      <c r="A88" s="17" t="s">
        <v>161</v>
      </c>
      <c r="B88" s="18" t="s">
        <v>94</v>
      </c>
      <c r="C88" s="19">
        <v>9</v>
      </c>
      <c r="D88" s="20">
        <v>46366</v>
      </c>
      <c r="E88" s="21">
        <v>0.71875</v>
      </c>
      <c r="F88" s="22">
        <v>380</v>
      </c>
      <c r="G88" s="23">
        <v>0.12</v>
      </c>
      <c r="H88" s="22">
        <f>C88*F88*(1-G88)</f>
        <v>3009.6</v>
      </c>
      <c r="I88" s="18" t="s">
        <v>13</v>
      </c>
      <c r="J88" s="18" t="s">
        <v>40</v>
      </c>
      <c r="K88" s="24" t="s">
        <v>15</v>
      </c>
    </row>
    <row r="89" spans="1:11" x14ac:dyDescent="0.3">
      <c r="A89" s="25" t="s">
        <v>162</v>
      </c>
      <c r="B89" s="26" t="s">
        <v>97</v>
      </c>
      <c r="C89" s="27">
        <v>10</v>
      </c>
      <c r="D89" s="28">
        <v>46367</v>
      </c>
      <c r="E89" s="29">
        <v>0.48958333333333331</v>
      </c>
      <c r="F89" s="30">
        <v>450</v>
      </c>
      <c r="G89" s="31">
        <v>0.2</v>
      </c>
      <c r="H89" s="30">
        <f>C89*F89*(1-G89)</f>
        <v>3600</v>
      </c>
      <c r="I89" s="26" t="s">
        <v>18</v>
      </c>
      <c r="J89" s="26" t="s">
        <v>45</v>
      </c>
      <c r="K89" s="32" t="s">
        <v>24</v>
      </c>
    </row>
    <row r="90" spans="1:11" x14ac:dyDescent="0.3">
      <c r="A90" s="17" t="s">
        <v>163</v>
      </c>
      <c r="B90" s="18" t="s">
        <v>100</v>
      </c>
      <c r="C90" s="19">
        <v>13</v>
      </c>
      <c r="D90" s="20">
        <v>46368</v>
      </c>
      <c r="E90" s="21">
        <v>0.61458333333333337</v>
      </c>
      <c r="F90" s="22">
        <v>520</v>
      </c>
      <c r="G90" s="23">
        <v>0.08</v>
      </c>
      <c r="H90" s="22">
        <f>C90*F90*(1-G90)</f>
        <v>6219.2</v>
      </c>
      <c r="I90" s="18" t="s">
        <v>27</v>
      </c>
      <c r="J90" s="18" t="s">
        <v>49</v>
      </c>
      <c r="K90" s="24" t="s">
        <v>104</v>
      </c>
    </row>
    <row r="91" spans="1:11" x14ac:dyDescent="0.3">
      <c r="A91" s="25" t="s">
        <v>164</v>
      </c>
      <c r="B91" s="26" t="s">
        <v>103</v>
      </c>
      <c r="C91" s="27">
        <v>4</v>
      </c>
      <c r="D91" s="28">
        <v>46369</v>
      </c>
      <c r="E91" s="29">
        <v>0.375</v>
      </c>
      <c r="F91" s="30">
        <v>600</v>
      </c>
      <c r="G91" s="31">
        <v>0.15</v>
      </c>
      <c r="H91" s="30">
        <f>C91*F91*(1-G91)</f>
        <v>2040</v>
      </c>
      <c r="I91" s="26" t="s">
        <v>44</v>
      </c>
      <c r="J91" s="26" t="s">
        <v>53</v>
      </c>
      <c r="K91" s="32" t="s">
        <v>86</v>
      </c>
    </row>
    <row r="92" spans="1:11" x14ac:dyDescent="0.3">
      <c r="A92" s="17" t="s">
        <v>165</v>
      </c>
      <c r="B92" s="18" t="s">
        <v>12</v>
      </c>
      <c r="C92" s="19">
        <v>11</v>
      </c>
      <c r="D92" s="20">
        <v>46370</v>
      </c>
      <c r="E92" s="21">
        <v>0.57291666666666663</v>
      </c>
      <c r="F92" s="22">
        <v>15</v>
      </c>
      <c r="G92" s="23">
        <v>0</v>
      </c>
      <c r="H92" s="22">
        <f>C92*F92*(1-G92)</f>
        <v>165</v>
      </c>
      <c r="I92" s="18" t="s">
        <v>13</v>
      </c>
      <c r="J92" s="18" t="s">
        <v>55</v>
      </c>
      <c r="K92" s="24" t="s">
        <v>37</v>
      </c>
    </row>
    <row r="93" spans="1:11" x14ac:dyDescent="0.3">
      <c r="A93" s="25" t="s">
        <v>166</v>
      </c>
      <c r="B93" s="26" t="s">
        <v>17</v>
      </c>
      <c r="C93" s="27">
        <v>7</v>
      </c>
      <c r="D93" s="28">
        <v>46371</v>
      </c>
      <c r="E93" s="29">
        <v>0.65625</v>
      </c>
      <c r="F93" s="30">
        <v>25</v>
      </c>
      <c r="G93" s="31">
        <v>0.1</v>
      </c>
      <c r="H93" s="30">
        <f>C93*F93*(1-G93)</f>
        <v>157.5</v>
      </c>
      <c r="I93" s="26" t="s">
        <v>18</v>
      </c>
      <c r="J93" s="26" t="s">
        <v>57</v>
      </c>
      <c r="K93" s="32" t="s">
        <v>50</v>
      </c>
    </row>
    <row r="94" spans="1:11" x14ac:dyDescent="0.3">
      <c r="A94" s="17" t="s">
        <v>167</v>
      </c>
      <c r="B94" s="18" t="s">
        <v>22</v>
      </c>
      <c r="C94" s="19">
        <v>14</v>
      </c>
      <c r="D94" s="20">
        <v>46372</v>
      </c>
      <c r="E94" s="21">
        <v>0.75</v>
      </c>
      <c r="F94" s="22">
        <v>45</v>
      </c>
      <c r="G94" s="23">
        <v>0.18</v>
      </c>
      <c r="H94" s="22">
        <f>C94*F94*(1-G94)</f>
        <v>516.6</v>
      </c>
      <c r="I94" s="18" t="s">
        <v>27</v>
      </c>
      <c r="J94" s="18" t="s">
        <v>59</v>
      </c>
      <c r="K94" s="24" t="s">
        <v>77</v>
      </c>
    </row>
    <row r="95" spans="1:11" x14ac:dyDescent="0.3">
      <c r="A95" s="25" t="s">
        <v>168</v>
      </c>
      <c r="B95" s="26" t="s">
        <v>26</v>
      </c>
      <c r="C95" s="27">
        <v>11</v>
      </c>
      <c r="D95" s="28">
        <v>46373</v>
      </c>
      <c r="E95" s="29">
        <v>0.33333333333333331</v>
      </c>
      <c r="F95" s="30">
        <v>60</v>
      </c>
      <c r="G95" s="31">
        <v>0.05</v>
      </c>
      <c r="H95" s="30">
        <f>C95*F95*(1-G95)</f>
        <v>627</v>
      </c>
      <c r="I95" s="26" t="s">
        <v>44</v>
      </c>
      <c r="J95" s="26" t="s">
        <v>61</v>
      </c>
      <c r="K95" s="32" t="s">
        <v>33</v>
      </c>
    </row>
    <row r="96" spans="1:11" x14ac:dyDescent="0.3">
      <c r="A96" s="17" t="s">
        <v>169</v>
      </c>
      <c r="B96" s="18" t="s">
        <v>31</v>
      </c>
      <c r="C96" s="19">
        <v>7</v>
      </c>
      <c r="D96" s="20">
        <v>46374</v>
      </c>
      <c r="E96" s="21">
        <v>0.39583333333333331</v>
      </c>
      <c r="F96" s="22">
        <v>75</v>
      </c>
      <c r="G96" s="23">
        <v>0.12</v>
      </c>
      <c r="H96" s="22">
        <f>C96*F96*(1-G96)</f>
        <v>462</v>
      </c>
      <c r="I96" s="18" t="s">
        <v>13</v>
      </c>
      <c r="J96" s="18" t="s">
        <v>63</v>
      </c>
      <c r="K96" s="24" t="s">
        <v>101</v>
      </c>
    </row>
    <row r="97" spans="1:11" x14ac:dyDescent="0.3">
      <c r="A97" s="25" t="s">
        <v>170</v>
      </c>
      <c r="B97" s="26" t="s">
        <v>35</v>
      </c>
      <c r="C97" s="27">
        <v>4</v>
      </c>
      <c r="D97" s="28">
        <v>46375</v>
      </c>
      <c r="E97" s="29">
        <v>0.46875</v>
      </c>
      <c r="F97" s="30">
        <v>95</v>
      </c>
      <c r="G97" s="31">
        <v>0.2</v>
      </c>
      <c r="H97" s="30">
        <f>C97*F97*(1-G97)</f>
        <v>304</v>
      </c>
      <c r="I97" s="26" t="s">
        <v>18</v>
      </c>
      <c r="J97" s="26" t="s">
        <v>65</v>
      </c>
      <c r="K97" s="32" t="s">
        <v>98</v>
      </c>
    </row>
    <row r="98" spans="1:11" x14ac:dyDescent="0.3">
      <c r="A98" s="17" t="s">
        <v>171</v>
      </c>
      <c r="B98" s="18" t="s">
        <v>39</v>
      </c>
      <c r="C98" s="19">
        <v>9</v>
      </c>
      <c r="D98" s="20">
        <v>46376</v>
      </c>
      <c r="E98" s="21">
        <v>0.44791666666666669</v>
      </c>
      <c r="F98" s="22">
        <v>120</v>
      </c>
      <c r="G98" s="23">
        <v>0.08</v>
      </c>
      <c r="H98" s="22">
        <f>C98*F98*(1-G98)</f>
        <v>993.6</v>
      </c>
      <c r="I98" s="18" t="s">
        <v>27</v>
      </c>
      <c r="J98" s="18" t="s">
        <v>67</v>
      </c>
      <c r="K98" s="24" t="s">
        <v>37</v>
      </c>
    </row>
    <row r="99" spans="1:11" x14ac:dyDescent="0.3">
      <c r="A99" s="25" t="s">
        <v>172</v>
      </c>
      <c r="B99" s="26" t="s">
        <v>43</v>
      </c>
      <c r="C99" s="27">
        <v>7</v>
      </c>
      <c r="D99" s="28">
        <v>46377</v>
      </c>
      <c r="E99" s="29">
        <v>0.51041666666666663</v>
      </c>
      <c r="F99" s="30">
        <v>150</v>
      </c>
      <c r="G99" s="31">
        <v>0.15</v>
      </c>
      <c r="H99" s="30">
        <f>C99*F99*(1-G99)</f>
        <v>892.5</v>
      </c>
      <c r="I99" s="26" t="s">
        <v>44</v>
      </c>
      <c r="J99" s="26" t="s">
        <v>69</v>
      </c>
      <c r="K99" s="32" t="s">
        <v>41</v>
      </c>
    </row>
    <row r="100" spans="1:11" x14ac:dyDescent="0.3">
      <c r="A100" s="17" t="s">
        <v>173</v>
      </c>
      <c r="B100" s="18" t="s">
        <v>48</v>
      </c>
      <c r="C100" s="19">
        <v>8</v>
      </c>
      <c r="D100" s="20">
        <v>46378</v>
      </c>
      <c r="E100" s="21">
        <v>0.38541666666666669</v>
      </c>
      <c r="F100" s="22">
        <v>180.5</v>
      </c>
      <c r="G100" s="23">
        <v>0</v>
      </c>
      <c r="H100" s="22">
        <f>C100*F100*(1-G100)</f>
        <v>1444</v>
      </c>
      <c r="I100" s="18" t="s">
        <v>13</v>
      </c>
      <c r="J100" s="18" t="s">
        <v>71</v>
      </c>
      <c r="K100" s="24" t="s">
        <v>29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B92E6-0C5F-4FC1-A3DD-6AB6593382A5}">
  <dimension ref="A1:I35"/>
  <sheetViews>
    <sheetView topLeftCell="A14" workbookViewId="0">
      <selection activeCell="I16" sqref="I16"/>
    </sheetView>
  </sheetViews>
  <sheetFormatPr baseColWidth="10" defaultRowHeight="14.4" x14ac:dyDescent="0.3"/>
  <cols>
    <col min="1" max="1" width="20.109375" bestFit="1" customWidth="1"/>
    <col min="2" max="2" width="13.77734375" bestFit="1" customWidth="1"/>
    <col min="3" max="3" width="13.33203125" bestFit="1" customWidth="1"/>
    <col min="4" max="4" width="16.44140625" bestFit="1" customWidth="1"/>
    <col min="5" max="5" width="15.21875" bestFit="1" customWidth="1"/>
    <col min="6" max="6" width="18.6640625" bestFit="1" customWidth="1"/>
    <col min="7" max="7" width="18.88671875" bestFit="1" customWidth="1"/>
    <col min="8" max="8" width="17.33203125" bestFit="1" customWidth="1"/>
    <col min="9" max="9" width="14.21875" bestFit="1" customWidth="1"/>
    <col min="11" max="11" width="20.21875" bestFit="1" customWidth="1"/>
    <col min="12" max="12" width="12" bestFit="1" customWidth="1"/>
    <col min="13" max="13" width="17.33203125" bestFit="1" customWidth="1"/>
  </cols>
  <sheetData>
    <row r="1" spans="1:9" x14ac:dyDescent="0.3">
      <c r="A1" s="1" t="s">
        <v>1</v>
      </c>
      <c r="B1" s="1" t="s">
        <v>174</v>
      </c>
      <c r="C1" s="1" t="s">
        <v>5</v>
      </c>
      <c r="D1" s="1" t="s">
        <v>178</v>
      </c>
      <c r="E1" s="1" t="s">
        <v>179</v>
      </c>
      <c r="F1" s="1" t="s">
        <v>180</v>
      </c>
      <c r="G1" s="1" t="s">
        <v>181</v>
      </c>
      <c r="H1" s="1" t="s">
        <v>182</v>
      </c>
      <c r="I1" s="1" t="s">
        <v>183</v>
      </c>
    </row>
    <row r="2" spans="1:9" x14ac:dyDescent="0.3">
      <c r="A2" s="2" t="s">
        <v>184</v>
      </c>
      <c r="B2" s="2" t="s">
        <v>175</v>
      </c>
      <c r="C2" s="5">
        <v>850</v>
      </c>
      <c r="D2" s="3">
        <v>8</v>
      </c>
      <c r="E2" s="4">
        <v>46027</v>
      </c>
      <c r="F2" s="6">
        <v>0.05</v>
      </c>
      <c r="G2" s="5">
        <f>C2*(1-F2)</f>
        <v>807.5</v>
      </c>
      <c r="H2" s="5">
        <f>G2*D2</f>
        <v>6460</v>
      </c>
      <c r="I2" s="2" t="str">
        <f>IF(D2&lt;$K$2,"Reponer","OK")</f>
        <v>OK</v>
      </c>
    </row>
    <row r="3" spans="1:9" x14ac:dyDescent="0.3">
      <c r="A3" s="7" t="s">
        <v>185</v>
      </c>
      <c r="B3" s="7" t="s">
        <v>175</v>
      </c>
      <c r="C3" s="10">
        <v>180</v>
      </c>
      <c r="D3" s="8">
        <v>15</v>
      </c>
      <c r="E3" s="9">
        <v>46034</v>
      </c>
      <c r="F3" s="11">
        <v>0</v>
      </c>
      <c r="G3" s="10">
        <f t="shared" ref="G3:G21" si="0">C3*(1-F3)</f>
        <v>180</v>
      </c>
      <c r="H3" s="10">
        <f t="shared" ref="H3:H21" si="1">G3*D3</f>
        <v>2700</v>
      </c>
      <c r="I3" s="7" t="str">
        <f t="shared" ref="I3:I21" si="2">IF(D3&lt;$K$2,"Reponer","OK")</f>
        <v>OK</v>
      </c>
    </row>
    <row r="4" spans="1:9" x14ac:dyDescent="0.3">
      <c r="A4" s="2" t="s">
        <v>186</v>
      </c>
      <c r="B4" s="2" t="s">
        <v>175</v>
      </c>
      <c r="C4" s="5">
        <v>45</v>
      </c>
      <c r="D4" s="3">
        <v>30</v>
      </c>
      <c r="E4" s="4">
        <v>46041</v>
      </c>
      <c r="F4" s="6">
        <v>0.1</v>
      </c>
      <c r="G4" s="5">
        <f t="shared" si="0"/>
        <v>40.5</v>
      </c>
      <c r="H4" s="5">
        <f t="shared" si="1"/>
        <v>1215</v>
      </c>
      <c r="I4" s="2" t="str">
        <f t="shared" si="2"/>
        <v>OK</v>
      </c>
    </row>
    <row r="5" spans="1:9" x14ac:dyDescent="0.3">
      <c r="A5" s="7" t="s">
        <v>187</v>
      </c>
      <c r="B5" s="7" t="s">
        <v>175</v>
      </c>
      <c r="C5" s="10">
        <v>20</v>
      </c>
      <c r="D5" s="8">
        <v>40</v>
      </c>
      <c r="E5" s="9">
        <v>46048</v>
      </c>
      <c r="F5" s="11">
        <v>0</v>
      </c>
      <c r="G5" s="10">
        <f t="shared" si="0"/>
        <v>20</v>
      </c>
      <c r="H5" s="10">
        <f t="shared" si="1"/>
        <v>800</v>
      </c>
      <c r="I5" s="7" t="str">
        <f t="shared" si="2"/>
        <v>OK</v>
      </c>
    </row>
    <row r="6" spans="1:9" x14ac:dyDescent="0.3">
      <c r="A6" s="2" t="s">
        <v>188</v>
      </c>
      <c r="B6" s="2" t="s">
        <v>175</v>
      </c>
      <c r="C6" s="5">
        <v>60</v>
      </c>
      <c r="D6" s="3">
        <v>25</v>
      </c>
      <c r="E6" s="4">
        <v>46055</v>
      </c>
      <c r="F6" s="6">
        <v>0.08</v>
      </c>
      <c r="G6" s="5">
        <f t="shared" si="0"/>
        <v>55.2</v>
      </c>
      <c r="H6" s="5">
        <f t="shared" si="1"/>
        <v>1380</v>
      </c>
      <c r="I6" s="2" t="str">
        <f t="shared" si="2"/>
        <v>OK</v>
      </c>
    </row>
    <row r="7" spans="1:9" x14ac:dyDescent="0.3">
      <c r="A7" s="7" t="s">
        <v>189</v>
      </c>
      <c r="B7" s="7" t="s">
        <v>175</v>
      </c>
      <c r="C7" s="10">
        <v>320</v>
      </c>
      <c r="D7" s="8">
        <v>4</v>
      </c>
      <c r="E7" s="9">
        <v>46062</v>
      </c>
      <c r="F7" s="11">
        <v>0.1</v>
      </c>
      <c r="G7" s="10">
        <f t="shared" si="0"/>
        <v>288</v>
      </c>
      <c r="H7" s="10">
        <f t="shared" si="1"/>
        <v>1152</v>
      </c>
      <c r="I7" s="7" t="str">
        <f t="shared" si="2"/>
        <v>OK</v>
      </c>
    </row>
    <row r="8" spans="1:9" x14ac:dyDescent="0.3">
      <c r="A8" s="2" t="s">
        <v>190</v>
      </c>
      <c r="B8" s="2" t="s">
        <v>175</v>
      </c>
      <c r="C8" s="5">
        <v>250</v>
      </c>
      <c r="D8" s="3">
        <v>3</v>
      </c>
      <c r="E8" s="4">
        <v>46069</v>
      </c>
      <c r="F8" s="6">
        <v>0.05</v>
      </c>
      <c r="G8" s="5">
        <f t="shared" si="0"/>
        <v>237.5</v>
      </c>
      <c r="H8" s="5">
        <f t="shared" si="1"/>
        <v>712.5</v>
      </c>
      <c r="I8" s="2" t="str">
        <f t="shared" si="2"/>
        <v>OK</v>
      </c>
    </row>
    <row r="9" spans="1:9" x14ac:dyDescent="0.3">
      <c r="A9" s="7" t="s">
        <v>191</v>
      </c>
      <c r="B9" s="7" t="s">
        <v>175</v>
      </c>
      <c r="C9" s="10">
        <v>75</v>
      </c>
      <c r="D9" s="8">
        <v>12</v>
      </c>
      <c r="E9" s="9">
        <v>46076</v>
      </c>
      <c r="F9" s="11">
        <v>0</v>
      </c>
      <c r="G9" s="10">
        <f t="shared" si="0"/>
        <v>75</v>
      </c>
      <c r="H9" s="10">
        <f t="shared" si="1"/>
        <v>900</v>
      </c>
      <c r="I9" s="7" t="str">
        <f t="shared" si="2"/>
        <v>OK</v>
      </c>
    </row>
    <row r="10" spans="1:9" x14ac:dyDescent="0.3">
      <c r="A10" s="2" t="s">
        <v>192</v>
      </c>
      <c r="B10" s="2" t="s">
        <v>175</v>
      </c>
      <c r="C10" s="5">
        <v>90</v>
      </c>
      <c r="D10" s="3">
        <v>18</v>
      </c>
      <c r="E10" s="4">
        <v>46083</v>
      </c>
      <c r="F10" s="6">
        <v>0.12</v>
      </c>
      <c r="G10" s="5">
        <f t="shared" si="0"/>
        <v>79.2</v>
      </c>
      <c r="H10" s="5">
        <f t="shared" si="1"/>
        <v>1425.6000000000001</v>
      </c>
      <c r="I10" s="2" t="str">
        <f t="shared" si="2"/>
        <v>OK</v>
      </c>
    </row>
    <row r="11" spans="1:9" x14ac:dyDescent="0.3">
      <c r="A11" s="7" t="s">
        <v>193</v>
      </c>
      <c r="B11" s="7" t="s">
        <v>194</v>
      </c>
      <c r="C11" s="10">
        <v>210</v>
      </c>
      <c r="D11" s="8">
        <v>6</v>
      </c>
      <c r="E11" s="9">
        <v>46090</v>
      </c>
      <c r="F11" s="11">
        <v>0</v>
      </c>
      <c r="G11" s="10">
        <f t="shared" si="0"/>
        <v>210</v>
      </c>
      <c r="H11" s="10">
        <f t="shared" si="1"/>
        <v>1260</v>
      </c>
      <c r="I11" s="7" t="str">
        <f t="shared" si="2"/>
        <v>OK</v>
      </c>
    </row>
    <row r="12" spans="1:9" x14ac:dyDescent="0.3">
      <c r="A12" s="2" t="s">
        <v>195</v>
      </c>
      <c r="B12" s="2" t="s">
        <v>194</v>
      </c>
      <c r="C12" s="5">
        <v>300</v>
      </c>
      <c r="D12" s="3">
        <v>3</v>
      </c>
      <c r="E12" s="4">
        <v>46097</v>
      </c>
      <c r="F12" s="6">
        <v>0</v>
      </c>
      <c r="G12" s="5">
        <f t="shared" si="0"/>
        <v>300</v>
      </c>
      <c r="H12" s="5">
        <f t="shared" si="1"/>
        <v>900</v>
      </c>
      <c r="I12" s="2" t="str">
        <f t="shared" si="2"/>
        <v>OK</v>
      </c>
    </row>
    <row r="13" spans="1:9" x14ac:dyDescent="0.3">
      <c r="A13" s="7" t="s">
        <v>196</v>
      </c>
      <c r="B13" s="7" t="s">
        <v>194</v>
      </c>
      <c r="C13" s="10">
        <v>220</v>
      </c>
      <c r="D13" s="8">
        <v>5</v>
      </c>
      <c r="E13" s="9">
        <v>46104</v>
      </c>
      <c r="F13" s="11">
        <v>0.1</v>
      </c>
      <c r="G13" s="10">
        <f t="shared" si="0"/>
        <v>198</v>
      </c>
      <c r="H13" s="10">
        <f t="shared" si="1"/>
        <v>990</v>
      </c>
      <c r="I13" s="7" t="str">
        <f t="shared" si="2"/>
        <v>OK</v>
      </c>
    </row>
    <row r="14" spans="1:9" x14ac:dyDescent="0.3">
      <c r="A14" s="2" t="s">
        <v>197</v>
      </c>
      <c r="B14" s="2" t="s">
        <v>194</v>
      </c>
      <c r="C14" s="5">
        <v>5</v>
      </c>
      <c r="D14" s="3">
        <v>100</v>
      </c>
      <c r="E14" s="4">
        <v>46111</v>
      </c>
      <c r="F14" s="6">
        <v>0</v>
      </c>
      <c r="G14" s="5">
        <f t="shared" si="0"/>
        <v>5</v>
      </c>
      <c r="H14" s="5">
        <f t="shared" si="1"/>
        <v>500</v>
      </c>
      <c r="I14" s="2" t="str">
        <f t="shared" si="2"/>
        <v>OK</v>
      </c>
    </row>
    <row r="15" spans="1:9" x14ac:dyDescent="0.3">
      <c r="A15" s="7" t="s">
        <v>198</v>
      </c>
      <c r="B15" s="7" t="s">
        <v>194</v>
      </c>
      <c r="C15" s="10">
        <v>8</v>
      </c>
      <c r="D15" s="8">
        <v>45</v>
      </c>
      <c r="E15" s="9">
        <v>46118</v>
      </c>
      <c r="F15" s="11">
        <v>0</v>
      </c>
      <c r="G15" s="10">
        <f t="shared" si="0"/>
        <v>8</v>
      </c>
      <c r="H15" s="10">
        <f t="shared" si="1"/>
        <v>360</v>
      </c>
      <c r="I15" s="7" t="str">
        <f t="shared" si="2"/>
        <v>OK</v>
      </c>
    </row>
    <row r="16" spans="1:9" x14ac:dyDescent="0.3">
      <c r="A16" s="2" t="s">
        <v>199</v>
      </c>
      <c r="B16" s="2" t="s">
        <v>177</v>
      </c>
      <c r="C16" s="5">
        <v>280</v>
      </c>
      <c r="D16" s="3">
        <v>4</v>
      </c>
      <c r="E16" s="4">
        <v>46125</v>
      </c>
      <c r="F16" s="6">
        <v>0.15</v>
      </c>
      <c r="G16" s="5">
        <f t="shared" si="0"/>
        <v>238</v>
      </c>
      <c r="H16" s="5">
        <f t="shared" si="1"/>
        <v>952</v>
      </c>
      <c r="I16" s="2" t="str">
        <f t="shared" si="2"/>
        <v>OK</v>
      </c>
    </row>
    <row r="17" spans="1:9" x14ac:dyDescent="0.3">
      <c r="A17" s="7" t="s">
        <v>200</v>
      </c>
      <c r="B17" s="7" t="s">
        <v>177</v>
      </c>
      <c r="C17" s="10">
        <v>95</v>
      </c>
      <c r="D17" s="8">
        <v>10</v>
      </c>
      <c r="E17" s="9">
        <v>46132</v>
      </c>
      <c r="F17" s="11">
        <v>0</v>
      </c>
      <c r="G17" s="10">
        <f t="shared" si="0"/>
        <v>95</v>
      </c>
      <c r="H17" s="10">
        <f t="shared" si="1"/>
        <v>950</v>
      </c>
      <c r="I17" s="7" t="str">
        <f t="shared" si="2"/>
        <v>OK</v>
      </c>
    </row>
    <row r="18" spans="1:9" x14ac:dyDescent="0.3">
      <c r="A18" s="2" t="s">
        <v>201</v>
      </c>
      <c r="B18" s="2" t="s">
        <v>177</v>
      </c>
      <c r="C18" s="5">
        <v>40</v>
      </c>
      <c r="D18" s="3">
        <v>2</v>
      </c>
      <c r="E18" s="4">
        <v>46139</v>
      </c>
      <c r="F18" s="6">
        <v>0</v>
      </c>
      <c r="G18" s="5">
        <f t="shared" si="0"/>
        <v>40</v>
      </c>
      <c r="H18" s="5">
        <f t="shared" si="1"/>
        <v>80</v>
      </c>
      <c r="I18" s="2" t="str">
        <f t="shared" si="2"/>
        <v>OK</v>
      </c>
    </row>
    <row r="19" spans="1:9" x14ac:dyDescent="0.3">
      <c r="A19" s="7" t="s">
        <v>202</v>
      </c>
      <c r="B19" s="7" t="s">
        <v>176</v>
      </c>
      <c r="C19" s="10">
        <v>400</v>
      </c>
      <c r="D19" s="8">
        <v>3</v>
      </c>
      <c r="E19" s="9">
        <v>46146</v>
      </c>
      <c r="F19" s="11">
        <v>0.1</v>
      </c>
      <c r="G19" s="10">
        <f t="shared" si="0"/>
        <v>360</v>
      </c>
      <c r="H19" s="10">
        <f t="shared" si="1"/>
        <v>1080</v>
      </c>
      <c r="I19" s="7" t="str">
        <f t="shared" si="2"/>
        <v>OK</v>
      </c>
    </row>
    <row r="20" spans="1:9" x14ac:dyDescent="0.3">
      <c r="A20" s="2" t="s">
        <v>203</v>
      </c>
      <c r="B20" s="2" t="s">
        <v>176</v>
      </c>
      <c r="C20" s="5">
        <v>65</v>
      </c>
      <c r="D20" s="3">
        <v>20</v>
      </c>
      <c r="E20" s="4">
        <v>46153</v>
      </c>
      <c r="F20" s="6">
        <v>0.05</v>
      </c>
      <c r="G20" s="5">
        <f t="shared" si="0"/>
        <v>61.75</v>
      </c>
      <c r="H20" s="5">
        <f t="shared" si="1"/>
        <v>1235</v>
      </c>
      <c r="I20" s="2" t="str">
        <f t="shared" si="2"/>
        <v>OK</v>
      </c>
    </row>
    <row r="21" spans="1:9" x14ac:dyDescent="0.3">
      <c r="A21" s="7" t="s">
        <v>204</v>
      </c>
      <c r="B21" s="7" t="s">
        <v>176</v>
      </c>
      <c r="C21" s="10">
        <v>450</v>
      </c>
      <c r="D21" s="8">
        <v>4</v>
      </c>
      <c r="E21" s="9">
        <v>46160</v>
      </c>
      <c r="F21" s="11">
        <v>0</v>
      </c>
      <c r="G21" s="10">
        <f t="shared" si="0"/>
        <v>450</v>
      </c>
      <c r="H21" s="10">
        <f t="shared" si="1"/>
        <v>1800</v>
      </c>
      <c r="I21" s="7" t="str">
        <f t="shared" si="2"/>
        <v>OK</v>
      </c>
    </row>
    <row r="24" spans="1:9" x14ac:dyDescent="0.3">
      <c r="A24" s="1" t="s">
        <v>205</v>
      </c>
      <c r="B24" s="34"/>
      <c r="C24" s="34"/>
      <c r="D24" s="34"/>
      <c r="E24" s="34"/>
      <c r="F24" s="34"/>
      <c r="G24" s="34"/>
      <c r="H24" s="34"/>
      <c r="I24" s="34"/>
    </row>
    <row r="25" spans="1:9" x14ac:dyDescent="0.3">
      <c r="A25" s="33" t="s">
        <v>206</v>
      </c>
      <c r="B25" s="35" t="s">
        <v>207</v>
      </c>
      <c r="C25" s="35"/>
      <c r="D25" s="35"/>
      <c r="E25" s="35"/>
      <c r="F25" s="35"/>
      <c r="G25" s="35"/>
      <c r="H25" s="35"/>
      <c r="I25" s="35"/>
    </row>
    <row r="26" spans="1:9" x14ac:dyDescent="0.3">
      <c r="A26" s="37">
        <v>1</v>
      </c>
      <c r="B26" s="36" t="s">
        <v>213</v>
      </c>
      <c r="C26" s="36"/>
      <c r="D26" s="36"/>
      <c r="E26" s="36"/>
      <c r="F26" s="36"/>
      <c r="G26" s="36"/>
      <c r="H26" s="36"/>
      <c r="I26" s="36"/>
    </row>
    <row r="27" spans="1:9" x14ac:dyDescent="0.3">
      <c r="A27" s="37">
        <v>2</v>
      </c>
      <c r="B27" s="36" t="s">
        <v>214</v>
      </c>
      <c r="C27" s="36"/>
      <c r="D27" s="36"/>
      <c r="E27" s="36"/>
      <c r="F27" s="36"/>
      <c r="G27" s="36"/>
      <c r="H27" s="36"/>
      <c r="I27" s="36"/>
    </row>
    <row r="28" spans="1:9" x14ac:dyDescent="0.3">
      <c r="A28" s="37">
        <v>3</v>
      </c>
      <c r="B28" s="36" t="s">
        <v>215</v>
      </c>
      <c r="C28" s="36"/>
      <c r="D28" s="36"/>
      <c r="E28" s="36"/>
      <c r="F28" s="36"/>
      <c r="G28" s="36"/>
      <c r="H28" s="36"/>
      <c r="I28" s="36"/>
    </row>
    <row r="29" spans="1:9" x14ac:dyDescent="0.3">
      <c r="A29" s="37">
        <v>4</v>
      </c>
      <c r="B29" s="36" t="s">
        <v>216</v>
      </c>
      <c r="C29" s="36"/>
      <c r="D29" s="36"/>
      <c r="E29" s="36"/>
      <c r="F29" s="36"/>
      <c r="G29" s="36"/>
      <c r="H29" s="36"/>
      <c r="I29" s="36"/>
    </row>
    <row r="30" spans="1:9" x14ac:dyDescent="0.3">
      <c r="A30" s="37">
        <v>5</v>
      </c>
      <c r="B30" s="36" t="s">
        <v>217</v>
      </c>
      <c r="C30" s="36"/>
      <c r="D30" s="36"/>
      <c r="E30" s="36"/>
      <c r="F30" s="36"/>
      <c r="G30" s="36"/>
      <c r="H30" s="36"/>
      <c r="I30" s="36"/>
    </row>
    <row r="31" spans="1:9" x14ac:dyDescent="0.3">
      <c r="A31" s="37">
        <v>6</v>
      </c>
      <c r="B31" s="36" t="s">
        <v>208</v>
      </c>
      <c r="C31" s="36"/>
      <c r="D31" s="36"/>
      <c r="E31" s="36"/>
      <c r="F31" s="36"/>
      <c r="G31" s="36"/>
      <c r="H31" s="36"/>
      <c r="I31" s="36"/>
    </row>
    <row r="32" spans="1:9" x14ac:dyDescent="0.3">
      <c r="A32" s="37">
        <v>7</v>
      </c>
      <c r="B32" s="36" t="s">
        <v>209</v>
      </c>
      <c r="C32" s="36"/>
      <c r="D32" s="36"/>
      <c r="E32" s="36"/>
      <c r="F32" s="36"/>
      <c r="G32" s="36"/>
      <c r="H32" s="36"/>
      <c r="I32" s="36"/>
    </row>
    <row r="33" spans="1:9" x14ac:dyDescent="0.3">
      <c r="A33" s="37">
        <v>8</v>
      </c>
      <c r="B33" s="36" t="s">
        <v>210</v>
      </c>
      <c r="C33" s="36"/>
      <c r="D33" s="36"/>
      <c r="E33" s="36"/>
      <c r="F33" s="36"/>
      <c r="G33" s="36"/>
      <c r="H33" s="36"/>
      <c r="I33" s="36"/>
    </row>
    <row r="34" spans="1:9" x14ac:dyDescent="0.3">
      <c r="A34" s="37">
        <v>9</v>
      </c>
      <c r="B34" s="36" t="s">
        <v>211</v>
      </c>
      <c r="C34" s="36"/>
      <c r="D34" s="36"/>
      <c r="E34" s="36"/>
      <c r="F34" s="36"/>
      <c r="G34" s="36"/>
      <c r="H34" s="36"/>
      <c r="I34" s="36"/>
    </row>
    <row r="35" spans="1:9" x14ac:dyDescent="0.3">
      <c r="A35" s="37">
        <v>10</v>
      </c>
      <c r="B35" s="36" t="s">
        <v>212</v>
      </c>
      <c r="C35" s="36"/>
      <c r="D35" s="36"/>
      <c r="E35" s="36"/>
      <c r="F35" s="36"/>
      <c r="G35" s="36"/>
      <c r="H35" s="36"/>
      <c r="I35" s="36"/>
    </row>
  </sheetData>
  <mergeCells count="12">
    <mergeCell ref="B30:I30"/>
    <mergeCell ref="B31:I31"/>
    <mergeCell ref="B32:I32"/>
    <mergeCell ref="B33:I33"/>
    <mergeCell ref="B34:I34"/>
    <mergeCell ref="B35:I35"/>
    <mergeCell ref="B24:I24"/>
    <mergeCell ref="B25:I25"/>
    <mergeCell ref="B26:I26"/>
    <mergeCell ref="B27:I27"/>
    <mergeCell ref="B28:I28"/>
    <mergeCell ref="B29:I29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Ejemplo </vt:lpstr>
      <vt:lpstr>Ejercicio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D. Ambunan</dc:creator>
  <cp:lastModifiedBy>Antonio D. Ambunan</cp:lastModifiedBy>
  <cp:lastPrinted>2026-07-04T10:24:45Z</cp:lastPrinted>
  <dcterms:created xsi:type="dcterms:W3CDTF">2026-07-04T08:37:52Z</dcterms:created>
  <dcterms:modified xsi:type="dcterms:W3CDTF">2026-07-06T11:38:29Z</dcterms:modified>
</cp:coreProperties>
</file>